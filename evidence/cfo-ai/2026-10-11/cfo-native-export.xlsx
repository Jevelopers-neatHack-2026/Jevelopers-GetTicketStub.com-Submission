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></Relationship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04 — Scenario comparison — Base" sheetId="1" r:id="rId1"/>
    <sheet name="01 — Editable assumptions — USD" sheetId="2" r:id="rId2"/>
    <sheet name="02 — Fixed monthly budgets — es" sheetId="3" r:id="rId3"/>
    <sheet name="03 — Digital unit economics and" sheetId="4" r:id="rId4"/>
    <sheet name="05 — One-factor sensitivities —" sheetId="5" r:id="rId5"/>
    <sheet name="07 — Cash projection — hypothet" sheetId="6" r:id="rId6"/>
    <sheet name="06 — Physical economics — condi" sheetId="7" r:id="rId7"/>
    <sheet name="08 — Dated evidence register —" sheetId="8" r:id="rId8"/>
    <sheet name="Model inputs" sheetId="9" r:id="rId9"/>
  </sheets>
  <calcPr calcMode="auto" fullCalcOnLoad="1" forceFullCalc="1"/>
</workbook>
</file>

<file path=xl/styles.xml><?xml version="1.0" encoding="utf-8"?>
<styleSheet xmlns="http://schemas.openxmlformats.org/spreadsheetml/2006/main">
  <numFmts count="7">
    <numFmt numFmtId="164" formatCode="#,##0.###;(#,##0.###)"/>
    <numFmt numFmtId="165" formatCode="&quot;$&quot;#,##0.00;(&quot;$&quot;#,##0.00)"/>
    <numFmt numFmtId="166" formatCode="#,##0.00;(#,##0.00)"/>
    <numFmt numFmtId="167" formatCode="0.00%"/>
    <numFmt numFmtId="168" formatCode="yyyy-mm-dd"/>
    <numFmt numFmtId="169" formatCode="&quot;$&quot;#,##0.00000;(&quot;$&quot;#,##0.00000)"/>
    <numFmt numFmtId="170" formatCode="#,##0.00000;(#,##0.00000)"/>
  </numFmts>
  <fonts count="5">
    <font>
      <sz val="10"/>
      <color rgb="FF352F29"/>
      <name val="Aptos"/>
    </font>
    <font>
      <b/>
      <sz val="16"/>
      <color rgb="FFFFFFFF"/>
      <name val="Aptos"/>
    </font>
    <font>
      <sz val="9"/>
      <color rgb="FF817B73"/>
      <name val="Aptos"/>
    </font>
    <font>
      <b/>
      <sz val="10"/>
      <color rgb="FF352F29"/>
      <name val="Aptos"/>
    </font>
    <font>
      <sz val="10"/>
      <color rgb="FF817B73"/>
      <name val="Aptos"/>
    </font>
  </fonts>
  <fills count="7">
    <fill>
      <patternFill patternType="none"/>
    </fill>
    <fill>
      <patternFill patternType="gray125"/>
    </fill>
    <fill>
      <patternFill patternType="solid">
        <fgColor rgb="FF352F29"/>
        <bgColor indexed="64"/>
      </patternFill>
    </fill>
    <fill>
      <patternFill patternType="solid">
        <fgColor rgb="FFF0EDE8"/>
        <bgColor indexed="64"/>
      </patternFill>
    </fill>
    <fill>
      <patternFill patternType="solid">
        <fgColor rgb="FFF5F2EC"/>
        <bgColor indexed="64"/>
      </patternFill>
    </fill>
    <fill>
      <patternFill patternType="solid">
        <fgColor rgb="FFE6E0D7"/>
        <bgColor indexed="64"/>
      </patternFill>
    </fill>
    <fill>
      <patternFill patternType="solid">
        <fgColor rgb="FFF7F9FC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3DD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ill="1" applyFont="1" applyAlignment="1">
      <alignment vertical="center" horizontal="left" indent="1"/>
    </xf>
    <xf numFmtId="0" fontId="2" fillId="0" borderId="0" xfId="0" applyFont="1"/>
    <xf numFmtId="0" fontId="3" fillId="3" borderId="1" xfId="0" applyFill="1" applyFont="1" applyBorder="1" applyAlignment="1">
      <alignment vertical="center" horizontal="left"/>
    </xf>
    <xf numFmtId="0" fontId="3" fillId="3" borderId="1" xfId="0" applyFill="1" applyFont="1" applyBorder="1" applyAlignment="1">
      <alignment vertical="center" horizontal="right"/>
    </xf>
    <xf numFmtId="0" fontId="3" fillId="4" borderId="1" xfId="0" applyFill="1" applyFont="1" applyBorder="1" applyAlignment="1">
      <alignment vertical="center" horizontal="left"/>
    </xf>
    <xf numFmtId="164" fontId="3" fillId="4" borderId="1" xfId="0" applyNumberFormat="1" applyFill="1" applyFont="1" applyBorder="1" applyAlignment="1">
      <alignment vertical="center" horizontal="right"/>
    </xf>
    <xf numFmtId="0" fontId="0" fillId="0" borderId="0" xfId="0" applyAlignment="1">
      <alignment vertical="center" horizontal="left"/>
    </xf>
    <xf numFmtId="164" fontId="0" fillId="0" borderId="0" xfId="0" applyNumberFormat="1" applyAlignment="1">
      <alignment vertical="center" horizontal="right"/>
    </xf>
    <xf numFmtId="165" fontId="0" fillId="0" borderId="0" xfId="0" applyNumberFormat="1" applyAlignment="1">
      <alignment vertical="center" horizontal="right"/>
    </xf>
    <xf numFmtId="166" fontId="3" fillId="4" borderId="1" xfId="0" applyNumberFormat="1" applyFill="1" applyFont="1" applyBorder="1" applyAlignment="1">
      <alignment vertical="center" horizontal="right"/>
    </xf>
    <xf numFmtId="167" fontId="0" fillId="0" borderId="0" xfId="0" applyNumberFormat="1" applyAlignment="1">
      <alignment vertical="center" horizontal="right"/>
    </xf>
    <xf numFmtId="166" fontId="0" fillId="0" borderId="0" xfId="0" applyNumberFormat="1" applyAlignment="1">
      <alignment vertical="center" horizontal="right"/>
    </xf>
    <xf numFmtId="168" fontId="0" fillId="0" borderId="0" xfId="0" applyNumberFormat="1" applyAlignment="1">
      <alignment vertical="center" horizontal="right"/>
    </xf>
    <xf numFmtId="168" fontId="3" fillId="4" borderId="1" xfId="0" applyNumberFormat="1" applyFill="1" applyFont="1" applyBorder="1" applyAlignment="1">
      <alignment vertical="center" horizontal="right"/>
    </xf>
    <xf numFmtId="165" fontId="3" fillId="4" borderId="1" xfId="0" applyNumberFormat="1" applyFill="1" applyFont="1" applyBorder="1" applyAlignment="1">
      <alignment vertical="center" horizontal="right"/>
    </xf>
    <xf numFmtId="169" fontId="3" fillId="4" borderId="1" xfId="0" applyNumberFormat="1" applyFill="1" applyFont="1" applyBorder="1" applyAlignment="1">
      <alignment vertical="center" horizontal="right"/>
    </xf>
    <xf numFmtId="169" fontId="0" fillId="0" borderId="0" xfId="0" applyNumberFormat="1" applyAlignment="1">
      <alignment vertical="center" horizontal="right"/>
    </xf>
    <xf numFmtId="167" fontId="3" fillId="4" borderId="1" xfId="0" applyNumberFormat="1" applyFill="1" applyFont="1" applyBorder="1" applyAlignment="1">
      <alignment vertical="center" horizontal="right"/>
    </xf>
    <xf numFmtId="0" fontId="3" fillId="5" borderId="1" xfId="0" applyFill="1" applyFont="1" applyBorder="1" applyAlignment="1">
      <alignment vertical="center" horizontal="right"/>
    </xf>
    <xf numFmtId="0" fontId="3" fillId="4" borderId="1" xfId="0" applyFill="1" applyFont="1" applyBorder="1"/>
    <xf numFmtId="0" fontId="3" fillId="6" borderId="0" xfId="0" applyFill="1" applyFont="1" applyAlignment="1">
      <alignment vertical="center" horizontal="left"/>
    </xf>
    <xf numFmtId="0" fontId="0" fillId="6" borderId="0" xfId="0" applyFill="1" applyAlignment="1">
      <alignment vertical="center" horizontal="left" indent="1"/>
    </xf>
    <xf numFmtId="170" fontId="0" fillId="0" borderId="0" xfId="0" applyNumberFormat="1" applyAlignment="1">
      <alignment vertical="center" horizontal="right"/>
    </xf>
    <xf numFmtId="0" fontId="4" fillId="0" borderId="0" xfId="0" applyFont="1" applyAlignment="1">
      <alignment vertical="center" horizontal="lef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worksheet" Target="worksheets/sheet4.xml"></Relationship><Relationship Id="rId5" Type="http://schemas.openxmlformats.org/officeDocument/2006/relationships/worksheet" Target="worksheets/sheet5.xml"></Relationship><Relationship Id="rId6" Type="http://schemas.openxmlformats.org/officeDocument/2006/relationships/worksheet" Target="worksheets/sheet6.xml"></Relationship><Relationship Id="rId7" Type="http://schemas.openxmlformats.org/officeDocument/2006/relationships/worksheet" Target="worksheets/sheet7.xml"></Relationship><Relationship Id="rId8" Type="http://schemas.openxmlformats.org/officeDocument/2006/relationships/worksheet" Target="worksheets/sheet8.xml"></Relationship><Relationship Id="rId9" Type="http://schemas.openxmlformats.org/officeDocument/2006/relationships/worksheet" Target="worksheets/sheet9.xml"></Relationship><Relationship Id="rId10" Type="http://schemas.openxmlformats.org/officeDocument/2006/relationships/styles" Target="styles.xml"></Relationship></Relationships>
</file>

<file path=xl/worksheets/sheet1.xml><?xml version="1.0" encoding="utf-8"?>
<worksheet xmlns="http://schemas.openxmlformats.org/spreadsheetml/2006/main">
  <dimension ref="A1:D36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</cols>
  <sheetData>
    <row r="1" ht="32" customHeight="1">
      <c r="A1" t="inlineStr" s="1">
        <is>
          <t xml:space="preserve">04 — Scenario comparison — Base is Main Scenario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  <c r="C4" t="inlineStr" s="4">
        <is>
          <t xml:space="preserve">Value &gt; TicketStub — Conservative</t>
        </is>
      </c>
      <c r="D4" t="inlineStr" s="4">
        <is>
          <t xml:space="preserve">Value &gt; TicketStub — Growth</t>
        </is>
      </c>
    </row>
    <row r="5">
      <c r="A5" t="inlineStr" s="5">
        <is>
          <t xml:space="preserve">TS Monthly visits</t>
        </is>
      </c>
      <c r="B5" s="6">
        <f>10000</f>
        <v>10000</v>
      </c>
      <c r="C5" s="6">
        <f>5000</f>
        <v>5000</v>
      </c>
      <c r="D5" s="6">
        <f>25000</f>
        <v>25000</v>
      </c>
    </row>
    <row r="6">
      <c r="A6" t="inlineStr" s="7">
        <is>
          <t xml:space="preserve">TS Studio start rate</t>
        </is>
      </c>
      <c r="B6" s="8">
        <f>0.1</f>
        <v>0.1</v>
      </c>
      <c r="C6" s="8">
        <f>'04 — Scenario comparison — Base'!B6</f>
        <v>0.1</v>
      </c>
      <c r="D6" s="8">
        <f>'04 — Scenario comparison — Base'!B6</f>
        <v>0.1</v>
      </c>
    </row>
    <row r="7">
      <c r="A7" t="inlineStr" s="7">
        <is>
          <t xml:space="preserve">TS Paid conversion of visits</t>
        </is>
      </c>
      <c r="B7" s="8">
        <f>0.02</f>
        <v>0.02</v>
      </c>
      <c r="C7" s="8">
        <f>0.01</f>
        <v>0.01</v>
      </c>
      <c r="D7" s="8">
        <f>0.04</f>
        <v>0.04</v>
      </c>
    </row>
    <row r="8">
      <c r="A8" t="inlineStr" s="7">
        <is>
          <t xml:space="preserve">TS Images per start</t>
        </is>
      </c>
      <c r="B8" s="8">
        <f>'01 — Editable assumptions — USD'!B8+'01 — Editable assumptions — USD'!B9</f>
        <v>2</v>
      </c>
      <c r="C8" s="8">
        <f>'Model inputs'!B69+'Model inputs'!B28</f>
        <v>4</v>
      </c>
      <c r="D8" s="8">
        <f>'Model inputs'!B68+'Model inputs'!B27</f>
        <v>1.5</v>
      </c>
    </row>
    <row r="9">
      <c r="A9" t="inlineStr" s="7">
        <is>
          <t xml:space="preserve">TS Chats per start</t>
        </is>
      </c>
      <c r="B9" s="8">
        <f>4</f>
        <v>4</v>
      </c>
      <c r="C9" s="8">
        <f>8</f>
        <v>8</v>
      </c>
      <c r="D9" s="8">
        <f>3</f>
        <v>3</v>
      </c>
    </row>
    <row r="10">
      <c r="A10" t="inlineStr" s="7">
        <is>
          <t xml:space="preserve">TS Digital orders</t>
        </is>
      </c>
      <c r="B10" s="8">
        <f>'04 — Scenario comparison — Base'!B5*'04 — Scenario comparison — Base'!B7</f>
        <v>200</v>
      </c>
      <c r="C10" s="8">
        <f>'04 — Scenario comparison — Base'!C5*'04 — Scenario comparison — Base'!C7</f>
        <v>50</v>
      </c>
      <c r="D10" s="8">
        <f>'04 — Scenario comparison — Base'!D5*'04 — Scenario comparison — Base'!D7</f>
        <v>1000</v>
      </c>
    </row>
    <row r="11">
      <c r="A11" t="inlineStr" s="7">
        <is>
          <t xml:space="preserve">TS Studio starts</t>
        </is>
      </c>
      <c r="B11" s="8">
        <f>'04 — Scenario comparison — Base'!B5*'04 — Scenario comparison — Base'!B6</f>
        <v>1000</v>
      </c>
      <c r="C11" s="8">
        <f>'04 — Scenario comparison — Base'!C5*'04 — Scenario comparison — Base'!C6</f>
        <v>500</v>
      </c>
      <c r="D11" s="8">
        <f>'04 — Scenario comparison — Base'!D5*'04 — Scenario comparison — Base'!D6</f>
        <v>2500</v>
      </c>
    </row>
    <row r="12">
      <c r="A12" t="inlineStr" s="7">
        <is>
          <t xml:space="preserve">TS Monthly digital revenue</t>
        </is>
      </c>
      <c r="B12" s="8">
        <f>'04 — Scenario comparison — Base'!B10*'01 — Editable assumptions — USD'!B11</f>
        <v>1800</v>
      </c>
      <c r="C12" s="8">
        <f>'04 — Scenario comparison — Base'!C10*'Model inputs'!B24</f>
        <v>450</v>
      </c>
      <c r="D12" s="8">
        <f>'04 — Scenario comparison — Base'!D10*'Model inputs'!B23</f>
        <v>9000</v>
      </c>
    </row>
    <row r="13">
      <c r="A13" t="inlineStr" s="7">
        <is>
          <t xml:space="preserve">TS Monthly AI spend</t>
        </is>
      </c>
      <c r="B13" s="8">
        <f>'04 — Scenario comparison — Base'!B11*'03 — Digital unit economics and'!B9</f>
        <v>308.99</v>
      </c>
      <c r="C13" s="8">
        <f>'04 — Scenario comparison — Base'!C11*'Model inputs'!B8</f>
        <v>301.57</v>
      </c>
      <c r="D13" s="8">
        <f>'04 — Scenario comparison — Base'!D11*'Model inputs'!B7</f>
        <v>588.63125</v>
      </c>
    </row>
    <row r="14">
      <c r="A14" t="inlineStr" s="7">
        <is>
          <t xml:space="preserve">TS AI cost per paid order</t>
        </is>
      </c>
      <c r="B14" s="8">
        <f>IFERROR('04 — Scenario comparison — Base'!B13/'04 — Scenario comparison — Base'!B10,"")</f>
        <v>1.54495</v>
      </c>
      <c r="C14" s="8">
        <f>IFERROR('04 — Scenario comparison — Base'!C13/'04 — Scenario comparison — Base'!C10,"")</f>
        <v>6.0314</v>
      </c>
      <c r="D14" s="8">
        <f>IFERROR('04 — Scenario comparison — Base'!D13/'04 — Scenario comparison — Base'!D10,"")</f>
        <v>0.58863125</v>
      </c>
    </row>
    <row r="15">
      <c r="A15" t="inlineStr" s="7">
        <is>
          <t xml:space="preserve">TS Digital contribution per order</t>
        </is>
      </c>
      <c r="B15" s="8">
        <f>'01 — Editable assumptions — USD'!B11-'03 — Digital unit economics and'!B15-'03 — Digital unit economics and'!B16-'03 — Digital unit economics and'!B17-'04 — Scenario comparison — Base'!B14</f>
        <v>6.514050000000001</v>
      </c>
      <c r="C15" s="8">
        <f>'Model inputs'!B24-'Model inputs'!B86-'Model inputs'!B110-'Model inputs'!B113-'04 — Scenario comparison — Base'!C14</f>
        <v>2.0276000000000014</v>
      </c>
      <c r="D15" s="8">
        <f>'Model inputs'!B23-'Model inputs'!B85-'Model inputs'!B109-'Model inputs'!B112-'04 — Scenario comparison — Base'!D14</f>
        <v>7.470368750000001</v>
      </c>
    </row>
    <row r="16">
      <c r="A16" t="inlineStr" s="7">
        <is>
          <t xml:space="preserve">TS Digital contribution margin</t>
        </is>
      </c>
      <c r="B16" s="8">
        <f>IFERROR('04 — Scenario comparison — Base'!B15/'01 — Editable assumptions — USD'!B11,"")</f>
        <v>0.7237833333333334</v>
      </c>
      <c r="C16" s="8">
        <f>IFERROR('04 — Scenario comparison — Base'!C15/'Model inputs'!B24,"")</f>
        <v>0.22528888888888904</v>
      </c>
      <c r="D16" s="8">
        <f>IFERROR('04 — Scenario comparison — Base'!D15/'Model inputs'!B23,"")</f>
        <v>0.8300409722222224</v>
      </c>
    </row>
    <row r="17">
      <c r="A17" t="inlineStr" s="7">
        <is>
          <t xml:space="preserve">TS Fixed monthly budget</t>
        </is>
      </c>
      <c r="B17" s="8">
        <f>SUM('02 — Fixed monthly budgets — es'!B5,'02 — Fixed monthly budgets — es'!B6,'02 — Fixed monthly budgets — es'!B7,'02 — Fixed monthly budgets — es'!B8,'02 — Fixed monthly budgets — es'!B9,'02 — Fixed monthly budgets — es'!B10,'02 — Fixed monthly budgets — es'!B11)</f>
        <v>300</v>
      </c>
      <c r="C17" s="8">
        <f>SUM('Model inputs'!B46,'Model inputs'!B47,'Model inputs'!B48,'Model inputs'!B49,'Model inputs'!B50,'Model inputs'!B51,'Model inputs'!B52)</f>
        <v>150</v>
      </c>
      <c r="D17" s="8">
        <f>SUM('Model inputs'!B38,'Model inputs'!B39,'Model inputs'!B40,'Model inputs'!B41,'Model inputs'!B42,'Model inputs'!B43,'Model inputs'!B44)</f>
        <v>900</v>
      </c>
    </row>
    <row r="18">
      <c r="A18" t="inlineStr" s="7">
        <is>
          <t xml:space="preserve">TS Monthly marketing</t>
        </is>
      </c>
      <c r="B18" s="9">
        <f>300</f>
        <v>300</v>
      </c>
      <c r="C18" s="9">
        <f>100</f>
        <v>100</v>
      </c>
      <c r="D18" s="9">
        <f>1500</f>
        <v>1500</v>
      </c>
    </row>
    <row r="19">
      <c r="A19" t="inlineStr" s="7">
        <is>
          <t xml:space="preserve">TS Monthly operating profit bootstrap</t>
        </is>
      </c>
      <c r="B19" s="8">
        <f>'03 — Digital unit economics and'!B20-'04 — Scenario comparison — Base'!B17-'04 — Scenario comparison — Base'!B18-'01 — Editable assumptions — USD'!B36</f>
        <v>702.8100000000002</v>
      </c>
      <c r="C19" s="8">
        <f>'Model inputs'!B77-'04 — Scenario comparison — Base'!C17-'04 — Scenario comparison — Base'!C18-'Model inputs'!B58</f>
        <v>-148.61999999999995</v>
      </c>
      <c r="D19" s="8">
        <f>'Model inputs'!B76-'04 — Scenario comparison — Base'!D17-'04 — Scenario comparison — Base'!D18-'Model inputs'!B57</f>
        <v>5070.3687500000015</v>
      </c>
    </row>
    <row r="20">
      <c r="A20" t="inlineStr" s="7">
        <is>
          <t xml:space="preserve">TS Monthly operating profit founder</t>
        </is>
      </c>
      <c r="B20" s="8">
        <f>'03 — Digital unit economics and'!B20-'04 — Scenario comparison — Base'!B17-'04 — Scenario comparison — Base'!B18-'01 — Editable assumptions — USD'!B37</f>
        <v>-2297.1899999999996</v>
      </c>
      <c r="C20" s="8">
        <f>'Model inputs'!B77-'04 — Scenario comparison — Base'!C17-'04 — Scenario comparison — Base'!C18-'Model inputs'!B62</f>
        <v>-3148.62</v>
      </c>
      <c r="D20" s="8">
        <f>'Model inputs'!B76-'04 — Scenario comparison — Base'!D17-'04 — Scenario comparison — Base'!D18-'Model inputs'!B61</f>
        <v>2070.3687500000015</v>
      </c>
    </row>
    <row r="21">
      <c r="A21" t="inlineStr" s="7">
        <is>
          <t xml:space="preserve">TS Break-even orders bootstrap</t>
        </is>
      </c>
      <c r="B21" s="8">
        <f>IF(IF(IF(ISERROR('04 — Scenario comparison — Base'!B15&gt;0),'04 — Scenario comparison — Base'!B15&gt;0,IF('04 — Scenario comparison — Base'!B15="","",'04 — Scenario comparison — Base'!B15&gt;0))="",FALSE,IF(ISERROR('04 — Scenario comparison — Base'!B15&gt;0),'04 — Scenario comparison — Base'!B15&gt;0,IF('04 — Scenario comparison — Base'!B15="","",'04 — Scenario comparison — Base'!B15&gt;0))),CEILING(('04 — Scenario comparison — Base'!B17+'04 — Scenario comparison — Base'!B18+'01 — Editable assumptions — USD'!B36)/'04 — Scenario comparison — Base'!B15,1),"")</f>
        <v>93</v>
      </c>
      <c r="C21" s="8">
        <f>IF(IF(IF(ISERROR('04 — Scenario comparison — Base'!C15&gt;0),'04 — Scenario comparison — Base'!C15&gt;0,IF('04 — Scenario comparison — Base'!C15="","",'04 — Scenario comparison — Base'!C15&gt;0))="",FALSE,IF(ISERROR('04 — Scenario comparison — Base'!C15&gt;0),'04 — Scenario comparison — Base'!C15&gt;0,IF('04 — Scenario comparison — Base'!C15="","",'04 — Scenario comparison — Base'!C15&gt;0))),CEILING(('04 — Scenario comparison — Base'!C17+'04 — Scenario comparison — Base'!C18+'Model inputs'!B58)/'04 — Scenario comparison — Base'!C15,1),"")</f>
        <v>124</v>
      </c>
      <c r="D21" s="8">
        <f>IF(IF(IF(ISERROR('04 — Scenario comparison — Base'!D15&gt;0),'04 — Scenario comparison — Base'!D15&gt;0,IF('04 — Scenario comparison — Base'!D15="","",'04 — Scenario comparison — Base'!D15&gt;0))="",FALSE,IF(ISERROR('04 — Scenario comparison — Base'!D15&gt;0),'04 — Scenario comparison — Base'!D15&gt;0,IF('04 — Scenario comparison — Base'!D15="","",'04 — Scenario comparison — Base'!D15&gt;0))),CEILING(('04 — Scenario comparison — Base'!D17+'04 — Scenario comparison — Base'!D18+'Model inputs'!B57)/'04 — Scenario comparison — Base'!D15,1),"")</f>
        <v>322</v>
      </c>
    </row>
    <row r="22">
      <c r="A22" t="inlineStr" s="7">
        <is>
          <t xml:space="preserve">TS Break-even orders founder</t>
        </is>
      </c>
      <c r="B22" s="8">
        <f>IF(IF(IF(ISERROR('04 — Scenario comparison — Base'!B15&gt;0),'04 — Scenario comparison — Base'!B15&gt;0,IF('04 — Scenario comparison — Base'!B15="","",'04 — Scenario comparison — Base'!B15&gt;0))="",FALSE,IF(ISERROR('04 — Scenario comparison — Base'!B15&gt;0),'04 — Scenario comparison — Base'!B15&gt;0,IF('04 — Scenario comparison — Base'!B15="","",'04 — Scenario comparison — Base'!B15&gt;0))),CEILING(('04 — Scenario comparison — Base'!B17+'04 — Scenario comparison — Base'!B18+'01 — Editable assumptions — USD'!B37)/'04 — Scenario comparison — Base'!B15,1),"")</f>
        <v>553</v>
      </c>
      <c r="C22" s="8">
        <f>IF(IF(IF(ISERROR('04 — Scenario comparison — Base'!C15&gt;0),'04 — Scenario comparison — Base'!C15&gt;0,IF('04 — Scenario comparison — Base'!C15="","",'04 — Scenario comparison — Base'!C15&gt;0))="",FALSE,IF(ISERROR('04 — Scenario comparison — Base'!C15&gt;0),'04 — Scenario comparison — Base'!C15&gt;0,IF('04 — Scenario comparison — Base'!C15="","",'04 — Scenario comparison — Base'!C15&gt;0))),CEILING(('04 — Scenario comparison — Base'!C17+'04 — Scenario comparison — Base'!C18+'Model inputs'!B62)/'04 — Scenario comparison — Base'!C15,1),"")</f>
        <v>1603</v>
      </c>
      <c r="D22" s="8">
        <f>IF(IF(IF(ISERROR('04 — Scenario comparison — Base'!D15&gt;0),'04 — Scenario comparison — Base'!D15&gt;0,IF('04 — Scenario comparison — Base'!D15="","",'04 — Scenario comparison — Base'!D15&gt;0))="",FALSE,IF(ISERROR('04 — Scenario comparison — Base'!D15&gt;0),'04 — Scenario comparison — Base'!D15&gt;0,IF('04 — Scenario comparison — Base'!D15="","",'04 — Scenario comparison — Base'!D15&gt;0))),CEILING(('04 — Scenario comparison — Base'!D17+'04 — Scenario comparison — Base'!D18+'Model inputs'!B61)/'04 — Scenario comparison — Base'!D15,1),"")</f>
        <v>723</v>
      </c>
    </row>
    <row r="23">
      <c r="A23" t="inlineStr" s="7">
        <is>
          <t xml:space="preserve">TS Launch reserve</t>
        </is>
      </c>
      <c r="B23" s="8">
        <f>'01 — Editable assumptions — USD'!B38+'01 — Editable assumptions — USD'!B39/'01 — Editable assumptions — USD'!B40*'03 — Digital unit economics and'!B21</f>
        <v>616.011</v>
      </c>
      <c r="C23" s="8">
        <f>'Model inputs'!B18+'Model inputs'!B89/'Model inputs'!B15*'Model inputs'!B83</f>
        <v>581.3446666666666</v>
      </c>
      <c r="D23" s="8">
        <f>'Model inputs'!B17+'Model inputs'!B88/'Model inputs'!B14*'Model inputs'!B82</f>
        <v>856.9139583333333</v>
      </c>
    </row>
    <row r="24">
      <c r="A24" t="inlineStr" s="7">
        <is>
          <t xml:space="preserve">TS Hypothetical opening cash</t>
        </is>
      </c>
      <c r="B24" s="9">
        <f>1000</f>
        <v>1000</v>
      </c>
      <c r="C24" s="9">
        <f>'04 — Scenario comparison — Base'!B24</f>
        <v>1000</v>
      </c>
      <c r="D24" s="9">
        <f>'04 — Scenario comparison — Base'!B24</f>
        <v>1000</v>
      </c>
    </row>
    <row r="25">
      <c r="A25" t="inlineStr" s="7">
        <is>
          <t xml:space="preserve">TS Launch status</t>
        </is>
      </c>
      <c r="B25" t="str" s="8">
        <f>IF(IF(IF(ISERROR('04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Base'!B23))="",FALSE,IF(ISERROR('04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Base'!B23))),"UNFUNDED LAUNCH","Reserve funded; ramp still required")</f>
        <v>Reserve funded; ramp still required</v>
      </c>
      <c r="C25" t="str" s="8">
        <f>IF(IF(IF(ISERROR('04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Base'!C23))="",FALSE,IF(ISERROR('04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Base'!C23))),"UNFUNDED LAUNCH","Reserve funded; ramp still required")</f>
        <v>Reserve funded; ramp still required</v>
      </c>
      <c r="D25" t="str" s="8">
        <f>IF(IF(IF(ISERROR('04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Base'!D23))="",FALSE,IF(ISERROR('04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Base'!D23))),"UNFUNDED LAUNCH","Reserve funded; ramp still required")</f>
        <v>Reserve funded; ramp still required</v>
      </c>
    </row>
    <row r="26">
      <c r="A26" t="inlineStr" s="7">
        <is>
          <t xml:space="preserve">TS Zero cash launch status</t>
        </is>
      </c>
      <c r="B26" t="str" s="8">
        <f>IF(IF(IF(ISERROR('01 — Editable assumptions — USD'!B34&lt;'04 — Scenario comparison — Base'!B23),'01 — Editable assumptions — USD'!B34&lt;'04 — Scenario comparison — Base'!B23,IF(OR('01 — Editable assumptions — USD'!B34="",'04 — Scenario comparison — Base'!B23=""),"",'01 — Editable assumptions — USD'!B34&lt;'04 — Scenario comparison — Base'!B23))="",FALSE,IF(ISERROR('01 — Editable assumptions — USD'!B34&lt;'04 — Scenario comparison — Base'!B23),'01 — Editable assumptions — USD'!B34&lt;'04 — Scenario comparison — Base'!B23,IF(OR('01 — Editable assumptions — USD'!B34="",'04 — Scenario comparison — Base'!B23=""),"",'01 — Editable assumptions — USD'!B34&lt;'04 — Scenario comparison — Base'!B23))),"UNFUNDED LAUNCH","Reserve funded; ramp still required")</f>
        <v>UNFUNDED LAUNCH</v>
      </c>
      <c r="C26" t="str" s="8">
        <f>IF(IF(IF(ISERROR('Model inputs'!B12&lt;'04 — Scenario comparison — Base'!C23),'Model inputs'!B12&lt;'04 — Scenario comparison — Base'!C23,IF(OR('Model inputs'!B12="",'04 — Scenario comparison — Base'!C23=""),"",'Model inputs'!B12&lt;'04 — Scenario comparison — Base'!C23))="",FALSE,IF(ISERROR('Model inputs'!B12&lt;'04 — Scenario comparison — Base'!C23),'Model inputs'!B12&lt;'04 — Scenario comparison — Base'!C23,IF(OR('Model inputs'!B12="",'04 — Scenario comparison — Base'!C23=""),"",'Model inputs'!B12&lt;'04 — Scenario comparison — Base'!C23))),"UNFUNDED LAUNCH","Reserve funded; ramp still required")</f>
        <v>UNFUNDED LAUNCH</v>
      </c>
      <c r="D26" t="str" s="8">
        <f>IF(IF(IF(ISERROR('Model inputs'!B11&lt;'04 — Scenario comparison — Base'!D23),'Model inputs'!B11&lt;'04 — Scenario comparison — Base'!D23,IF(OR('Model inputs'!B11="",'04 — Scenario comparison — Base'!D23=""),"",'Model inputs'!B11&lt;'04 — Scenario comparison — Base'!D23))="",FALSE,IF(ISERROR('Model inputs'!B11&lt;'04 — Scenario comparison — Base'!D23),'Model inputs'!B11&lt;'04 — Scenario comparison — Base'!D23,IF(OR('Model inputs'!B11="",'04 — Scenario comparison — Base'!D23=""),"",'Model inputs'!B11&lt;'04 — Scenario comparison — Base'!D23))),"UNFUNDED LAUNCH","Reserve funded; ramp still required")</f>
        <v>UNFUNDED LAUNCH</v>
      </c>
    </row>
    <row r="27">
      <c r="A27" t="inlineStr" s="7">
        <is>
          <t xml:space="preserve">TS Runway months bootstrap</t>
        </is>
      </c>
      <c r="B27" t="str" s="8">
        <f>IF(IF(IF(ISERROR('03 — Digital unit economics and'!B29&gt;0),'03 — Digital unit economics and'!B29&gt;0,IF('03 — Digital unit economics and'!B29="","",'03 — Digital unit economics and'!B29&gt;0))="",FALSE,IF(ISERROR('03 — Digital unit economics and'!B29&gt;0),'03 — Digital unit economics and'!B29&gt;0,IF('03 — Digital unit economics and'!B29="","",'03 — Digital unit economics and'!B29&gt;0))),MAX(0,'04 — Scenario comparison — Base'!B24-'04 — Scenario comparison — Base'!B23)/'03 — Digital unit economics and'!B29,"")</f>
        <v/>
      </c>
      <c r="C27" s="8">
        <f>IF(IF(IF(ISERROR('Model inputs'!B73&gt;0),'Model inputs'!B73&gt;0,IF('Model inputs'!B73="","",'Model inputs'!B73&gt;0))="",FALSE,IF(ISERROR('Model inputs'!B73&gt;0),'Model inputs'!B73&gt;0,IF('Model inputs'!B73="","",'Model inputs'!B73&gt;0))),MAX(0,'04 — Scenario comparison — Base'!C24-'04 — Scenario comparison — Base'!C23)/'Model inputs'!B73,"")</f>
        <v>2.8169515094424273</v>
      </c>
      <c r="D27" t="str" s="8">
        <f>IF(IF(IF(ISERROR('Model inputs'!B72&gt;0),'Model inputs'!B72&gt;0,IF('Model inputs'!B72="","",'Model inputs'!B72&gt;0))="",FALSE,IF(ISERROR('Model inputs'!B72&gt;0),'Model inputs'!B72&gt;0,IF('Model inputs'!B72="","",'Model inputs'!B72&gt;0))),MAX(0,'04 — Scenario comparison — Base'!D24-'04 — Scenario comparison — Base'!D23)/'Model inputs'!B72,"")</f>
        <v/>
      </c>
    </row>
    <row r="28">
      <c r="A28" t="inlineStr" s="7">
        <is>
          <t xml:space="preserve">TS Runway months founder</t>
        </is>
      </c>
      <c r="B28" s="8">
        <f>IF(IF(IF(ISERROR('03 — Digital unit economics and'!B30&gt;0),'03 — Digital unit economics and'!B30&gt;0,IF('03 — Digital unit economics and'!B30="","",'03 — Digital unit economics and'!B30&gt;0))="",FALSE,IF(ISERROR('03 — Digital unit economics and'!B30&gt;0),'03 — Digital unit economics and'!B30&gt;0,IF('03 — Digital unit economics and'!B30="","",'03 — Digital unit economics and'!B30&gt;0))),MAX(0,'04 — Scenario comparison — Base'!B24-'04 — Scenario comparison — Base'!B23)/'03 — Digital unit economics and'!B30,"")</f>
        <v>0.1671559601077839</v>
      </c>
      <c r="C28" s="8">
        <f>IF(IF(IF(ISERROR('Model inputs'!B75&gt;0),'Model inputs'!B75&gt;0,IF('Model inputs'!B75="","",'Model inputs'!B75&gt;0))="",FALSE,IF(ISERROR('Model inputs'!B75&gt;0),'Model inputs'!B75&gt;0,IF('Model inputs'!B75="","",'Model inputs'!B75&gt;0))),MAX(0,'04 — Scenario comparison — Base'!C24-'04 — Scenario comparison — Base'!C23)/'Model inputs'!B75,"")</f>
        <v>0.1329647062310896</v>
      </c>
      <c r="D28" t="str" s="8">
        <f>IF(IF(IF(ISERROR('Model inputs'!B74&gt;0),'Model inputs'!B74&gt;0,IF('Model inputs'!B74="","",'Model inputs'!B74&gt;0))="",FALSE,IF(ISERROR('Model inputs'!B74&gt;0),'Model inputs'!B74&gt;0,IF('Model inputs'!B74="","",'Model inputs'!B74&gt;0))),MAX(0,'04 — Scenario comparison — Base'!D24-'04 — Scenario comparison — Base'!D23)/'Model inputs'!B74,"")</f>
        <v/>
      </c>
    </row>
    <row r="29">
      <c r="A29" t="inlineStr" s="7">
        <is>
          <t xml:space="preserve">TS Runway at funded bootstrap</t>
        </is>
      </c>
      <c r="B29" t="str" s="8">
        <f>IF(IF(IF(ISERROR('03 — Digital unit economics and'!B29&gt;0),'03 — Digital unit economics and'!B29&gt;0,IF('03 — Digital unit economics and'!B29="","",'03 — Digital unit economics and'!B29&gt;0))="",FALSE,IF(ISERROR('03 — Digital unit economics and'!B29&gt;0),'03 — Digital unit economics and'!B29&gt;0,IF('03 — Digital unit economics and'!B29="","",'03 — Digital unit economics and'!B29&gt;0))),MAX(0,'01 — Editable assumptions — USD'!B35-'04 — Scenario comparison — Base'!B23)/'03 — Digital unit economics and'!B29,"")</f>
        <v/>
      </c>
      <c r="C29" s="8">
        <f>IF(IF(IF(ISERROR('Model inputs'!B73&gt;0),'Model inputs'!B73&gt;0,IF('Model inputs'!B73="","",'Model inputs'!B73&gt;0))="",FALSE,IF(ISERROR('Model inputs'!B73&gt;0),'Model inputs'!B73&gt;0,IF('Model inputs'!B73="","",'Model inputs'!B73&gt;0))),MAX(0,'Model inputs'!B10-'04 — Scenario comparison — Base'!C23)/'Model inputs'!B73,"")</f>
        <v>29.731229533934428</v>
      </c>
      <c r="D29" t="str" s="8">
        <f>IF(IF(IF(ISERROR('Model inputs'!B72&gt;0),'Model inputs'!B72&gt;0,IF('Model inputs'!B72="","",'Model inputs'!B72&gt;0))="",FALSE,IF(ISERROR('Model inputs'!B72&gt;0),'Model inputs'!B72&gt;0,IF('Model inputs'!B72="","",'Model inputs'!B72&gt;0))),MAX(0,'Model inputs'!B9-'04 — Scenario comparison — Base'!D23)/'Model inputs'!B72,"")</f>
        <v/>
      </c>
    </row>
    <row r="30">
      <c r="A30" t="inlineStr" s="7">
        <is>
          <t xml:space="preserve">TS Runway at funded founder</t>
        </is>
      </c>
      <c r="B30" s="8">
        <f>IF(IF(IF(ISERROR('03 — Digital unit economics and'!B30&gt;0),'03 — Digital unit economics and'!B30&gt;0,IF('03 — Digital unit economics and'!B30="","",'03 — Digital unit economics and'!B30&gt;0))="",FALSE,IF(ISERROR('03 — Digital unit economics and'!B30&gt;0),'03 — Digital unit economics and'!B30&gt;0,IF('03 — Digital unit economics and'!B30="","",'03 — Digital unit economics and'!B30&gt;0))),MAX(0,'01 — Editable assumptions — USD'!B35-'04 — Scenario comparison — Base'!B23)/'03 — Digital unit economics and'!B30,"")</f>
        <v>1.9084137576778588</v>
      </c>
      <c r="C30" s="8">
        <f>IF(IF(IF(ISERROR('Model inputs'!B75&gt;0),'Model inputs'!B75&gt;0,IF('Model inputs'!B75="","",'Model inputs'!B75&gt;0))="",FALSE,IF(ISERROR('Model inputs'!B75&gt;0),'Model inputs'!B75&gt;0,IF('Model inputs'!B75="","",'Model inputs'!B75&gt;0))),MAX(0,'Model inputs'!B10-'04 — Scenario comparison — Base'!C23)/'Model inputs'!B75,"")</f>
        <v>1.403362531310013</v>
      </c>
      <c r="D30" t="str" s="8">
        <f>IF(IF(IF(ISERROR('Model inputs'!B74&gt;0),'Model inputs'!B74&gt;0,IF('Model inputs'!B74="","",'Model inputs'!B74&gt;0))="",FALSE,IF(ISERROR('Model inputs'!B74&gt;0),'Model inputs'!B74&gt;0,IF('Model inputs'!B74="","",'Model inputs'!B74&gt;0))),MAX(0,'Model inputs'!B9-'04 — Scenario comparison — Base'!D23)/'Model inputs'!B74,"")</f>
        <v/>
      </c>
    </row>
    <row r="31">
      <c r="A31" t="inlineStr" s="7">
        <is>
          <t xml:space="preserve">TS Bootstrap runway interpretation</t>
        </is>
      </c>
      <c r="B31" t="str" s="8">
        <f>IF(IF(IF(ISERROR('04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Base'!B23))="",FALSE,IF(ISERROR('04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Base'!B23))),"UNFUNDED LAUNCH",IF(IF(IF(ISERROR('03 — Digital unit economics and'!B29=0),'03 — Digital unit economics and'!B29=0,IF('03 — Digital unit economics and'!B29="","",'03 — Digital unit economics and'!B29=0))="",FALSE,IF(ISERROR('03 — Digital unit economics and'!B29=0),'03 — Digital unit economics and'!B29=0,IF('03 — Digital unit economics and'!B29="","",'03 — Digital unit economics and'!B29=0))),"Cash-positive steady state; not guaranteed runway","Finite burn runway; steady-state assumption"))</f>
        <v>Cash-positive steady state; not guaranteed runway</v>
      </c>
      <c r="C31" t="str" s="8">
        <f>IF(IF(IF(ISERROR('04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Base'!C23))="",FALSE,IF(ISERROR('04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Base'!C23))),"UNFUNDED LAUNCH",IF(IF(IF(ISERROR('Model inputs'!B73=0),'Model inputs'!B73=0,IF('Model inputs'!B73="","",'Model inputs'!B73=0))="",FALSE,IF(ISERROR('Model inputs'!B73=0),'Model inputs'!B73=0,IF('Model inputs'!B73="","",'Model inputs'!B73=0))),"Cash-positive steady state; not guaranteed runway","Finite burn runway; steady-state assumption"))</f>
        <v>Finite burn runway; steady-state assumption</v>
      </c>
      <c r="D31" t="str" s="8">
        <f>IF(IF(IF(ISERROR('04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Base'!D23))="",FALSE,IF(ISERROR('04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Base'!D23))),"UNFUNDED LAUNCH",IF(IF(IF(ISERROR('Model inputs'!B72=0),'Model inputs'!B72=0,IF('Model inputs'!B72="","",'Model inputs'!B72=0))="",FALSE,IF(ISERROR('Model inputs'!B72=0),'Model inputs'!B72=0,IF('Model inputs'!B72="","",'Model inputs'!B72=0))),"Cash-positive steady state; not guaranteed runway","Finite burn runway; steady-state assumption"))</f>
        <v>Cash-positive steady state; not guaranteed runway</v>
      </c>
    </row>
    <row r="32">
      <c r="A32" t="inlineStr" s="7">
        <is>
          <t xml:space="preserve">TS Founder runway interpretation</t>
        </is>
      </c>
      <c r="B32" t="str" s="8">
        <f>IF(IF(IF(ISERROR('04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Base'!B23))="",FALSE,IF(ISERROR('04 — Scenario comparison — Base'!B24&lt;'04 — Scenario comparison — Base'!B23),'04 — Scenario comparison — Base'!B24&lt;'04 — Scenario comparison — Base'!B23,IF(OR('04 — Scenario comparison — Base'!B24="",'04 — Scenario comparison — Base'!B23=""),"",'04 — Scenario comparison — Base'!B24&lt;'04 — Scenario comparison — Base'!B23))),"UNFUNDED LAUNCH",IF(IF(IF(ISERROR('03 — Digital unit economics and'!B30=0),'03 — Digital unit economics and'!B30=0,IF('03 — Digital unit economics and'!B30="","",'03 — Digital unit economics and'!B30=0))="",FALSE,IF(ISERROR('03 — Digital unit economics and'!B30=0),'03 — Digital unit economics and'!B30=0,IF('03 — Digital unit economics and'!B30="","",'03 — Digital unit economics and'!B30=0))),"Cash-positive steady state; not guaranteed runway","Finite burn runway; steady-state assumption"))</f>
        <v>Finite burn runway; steady-state assumption</v>
      </c>
      <c r="C32" t="str" s="8">
        <f>IF(IF(IF(ISERROR('04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Base'!C23))="",FALSE,IF(ISERROR('04 — Scenario comparison — Base'!C24&lt;'04 — Scenario comparison — Base'!C23),'04 — Scenario comparison — Base'!C24&lt;'04 — Scenario comparison — Base'!C23,IF(OR('04 — Scenario comparison — Base'!C24="",'04 — Scenario comparison — Base'!C23=""),"",'04 — Scenario comparison — Base'!C24&lt;'04 — Scenario comparison — Base'!C23))),"UNFUNDED LAUNCH",IF(IF(IF(ISERROR('Model inputs'!B75=0),'Model inputs'!B75=0,IF('Model inputs'!B75="","",'Model inputs'!B75=0))="",FALSE,IF(ISERROR('Model inputs'!B75=0),'Model inputs'!B75=0,IF('Model inputs'!B75="","",'Model inputs'!B75=0))),"Cash-positive steady state; not guaranteed runway","Finite burn runway; steady-state assumption"))</f>
        <v>Finite burn runway; steady-state assumption</v>
      </c>
      <c r="D32" t="str" s="8">
        <f>IF(IF(IF(ISERROR('04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Base'!D23))="",FALSE,IF(ISERROR('04 — Scenario comparison — Base'!D24&lt;'04 — Scenario comparison — Base'!D23),'04 — Scenario comparison — Base'!D24&lt;'04 — Scenario comparison — Base'!D23,IF(OR('04 — Scenario comparison — Base'!D24="",'04 — Scenario comparison — Base'!D23=""),"",'04 — Scenario comparison — Base'!D24&lt;'04 — Scenario comparison — Base'!D23))),"UNFUNDED LAUNCH",IF(IF(IF(ISERROR('Model inputs'!B74=0),'Model inputs'!B74=0,IF('Model inputs'!B74="","",'Model inputs'!B74=0))="",FALSE,IF(ISERROR('Model inputs'!B74=0),'Model inputs'!B74=0,IF('Model inputs'!B74="","",'Model inputs'!B74=0))),"Cash-positive steady state; not guaranteed runway","Finite burn runway; steady-state assumption"))</f>
        <v>Cash-positive steady state; not guaranteed runway</v>
      </c>
    </row>
    <row r="33">
      <c r="A33" t="inlineStr" s="7">
        <is>
          <t xml:space="preserve">TS Six month funding bootstrap</t>
        </is>
      </c>
      <c r="B33" s="8">
        <f>'04 — Scenario comparison — Base'!B23+'01 — Editable assumptions — USD'!B41*'03 — Digital unit economics and'!B29</f>
        <v>616.011</v>
      </c>
      <c r="C33" s="8">
        <f>'04 — Scenario comparison — Base'!C23+'Model inputs'!B91*'Model inputs'!B73</f>
        <v>1473.0646666666662</v>
      </c>
      <c r="D33" s="8">
        <f>'04 — Scenario comparison — Base'!D23+'Model inputs'!B90*'Model inputs'!B72</f>
        <v>856.9139583333333</v>
      </c>
    </row>
    <row r="34">
      <c r="A34" t="inlineStr" s="7">
        <is>
          <t xml:space="preserve">TS Six month funding founder</t>
        </is>
      </c>
      <c r="B34" s="8">
        <f>'04 — Scenario comparison — Base'!B23+'01 — Editable assumptions — USD'!B41*'03 — Digital unit economics and'!B30</f>
        <v>14399.150999999998</v>
      </c>
      <c r="C34" s="8">
        <f>'04 — Scenario comparison — Base'!C23+'Model inputs'!B91*'Model inputs'!B75</f>
        <v>19473.06466666667</v>
      </c>
      <c r="D34" s="8">
        <f>'04 — Scenario comparison — Base'!D23+'Model inputs'!B90*'Model inputs'!B74</f>
        <v>856.9139583333333</v>
      </c>
    </row>
    <row r="35">
      <c r="A35" t="inlineStr" s="7">
        <is>
          <t xml:space="preserve">TS Ramp funding bootstrap</t>
        </is>
      </c>
      <c r="B35" s="8">
        <f>'01 — Editable assumptions — USD'!B42*'03 — Digital unit economics and'!B40+'04 — Scenario comparison — Base'!B33</f>
        <v>2416.011</v>
      </c>
      <c r="C35" s="8">
        <f>'Model inputs'!B97*'Model inputs'!B93+'04 — Scenario comparison — Base'!C33</f>
        <v>2223.064666666666</v>
      </c>
      <c r="D35" s="8">
        <f>'Model inputs'!B96*'Model inputs'!B92+'04 — Scenario comparison — Base'!D33</f>
        <v>8056.9139583333335</v>
      </c>
    </row>
    <row r="36">
      <c r="A36" t="inlineStr" s="5">
        <is>
          <t xml:space="preserve">TS Ramp funding founder</t>
        </is>
      </c>
      <c r="B36" s="6">
        <f>'01 — Editable assumptions — USD'!B42*'03 — Digital unit economics and'!B41+'04 — Scenario comparison — Base'!B34</f>
        <v>25199.150999999998</v>
      </c>
      <c r="C36" s="6">
        <f>'Model inputs'!B97*'Model inputs'!B95+'04 — Scenario comparison — Base'!C34</f>
        <v>29223.06466666667</v>
      </c>
      <c r="D36" s="6">
        <f>'Model inputs'!B96*'Model inputs'!B94+'04 — Scenario comparison — Base'!D34</f>
        <v>17056.913958333334</v>
      </c>
    </row>
  </sheetData>
  <mergeCells count="1">
    <mergeCell ref="A1:D1"/>
  </mergeCells>
</worksheet>
</file>

<file path=xl/worksheets/sheet2.xml><?xml version="1.0" encoding="utf-8"?>
<worksheet xmlns="http://schemas.openxmlformats.org/spreadsheetml/2006/main">
  <dimension ref="A1:B61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01 — Editable assumptions — USD, not actuals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TS Monthly visits</t>
        </is>
      </c>
      <c r="B5" s="10">
        <f>'04 — Scenario comparison — Base'!B5</f>
        <v>10000</v>
      </c>
    </row>
    <row r="6">
      <c r="A6" t="inlineStr" s="7">
        <is>
          <t xml:space="preserve">TS Studio start rate</t>
        </is>
      </c>
      <c r="B6" s="11">
        <f>'04 — Scenario comparison — Base'!B6</f>
        <v>0.1</v>
      </c>
    </row>
    <row r="7">
      <c r="A7" t="inlineStr" s="7">
        <is>
          <t xml:space="preserve">TS Paid conversion of visits</t>
        </is>
      </c>
      <c r="B7" s="11">
        <f>'04 — Scenario comparison — Base'!B7</f>
        <v>0.02</v>
      </c>
    </row>
    <row r="8">
      <c r="A8" t="inlineStr" s="7">
        <is>
          <t xml:space="preserve">TS Initial images per start</t>
        </is>
      </c>
      <c r="B8" s="12">
        <f>1</f>
        <v>1</v>
      </c>
    </row>
    <row r="9">
      <c r="A9" t="inlineStr" s="7">
        <is>
          <t xml:space="preserve">TS Expected revisions per start</t>
        </is>
      </c>
      <c r="B9" s="12">
        <f>1</f>
        <v>1</v>
      </c>
    </row>
    <row r="10">
      <c r="A10" t="inlineStr" s="7">
        <is>
          <t xml:space="preserve">TS Chats per start</t>
        </is>
      </c>
      <c r="B10" s="12">
        <f>'04 — Scenario comparison — Base'!B9</f>
        <v>4</v>
      </c>
    </row>
    <row r="11">
      <c r="A11" t="inlineStr" s="7">
        <is>
          <t xml:space="preserve">TS Digital price</t>
        </is>
      </c>
      <c r="B11" s="9">
        <f>9</f>
        <v>9</v>
      </c>
    </row>
    <row r="12">
      <c r="A12" t="inlineStr" s="7">
        <is>
          <t xml:space="preserve">TS Payment rate</t>
        </is>
      </c>
      <c r="B12" s="11">
        <f>0.029</f>
        <v>0.029</v>
      </c>
    </row>
    <row r="13">
      <c r="A13" t="inlineStr" s="7">
        <is>
          <t xml:space="preserve">TS Payment fixed fee</t>
        </is>
      </c>
      <c r="B13" s="9">
        <f>0.3</f>
        <v>0.3</v>
      </c>
    </row>
    <row r="14">
      <c r="A14" t="inlineStr" s="7">
        <is>
          <t xml:space="preserve">TS Digital refund allowance</t>
        </is>
      </c>
      <c r="B14" s="11">
        <f>0.02</f>
        <v>0.02</v>
      </c>
    </row>
    <row r="15">
      <c r="A15" t="inlineStr" s="7">
        <is>
          <t xml:space="preserve">TS Variable support per order</t>
        </is>
      </c>
      <c r="B15" s="9">
        <f>0.15</f>
        <v>0.15</v>
      </c>
    </row>
    <row r="16">
      <c r="A16" t="inlineStr" s="7">
        <is>
          <t xml:space="preserve">TS Variable delivery per order</t>
        </is>
      </c>
      <c r="B16" s="9">
        <f>0.03</f>
        <v>0.03</v>
      </c>
    </row>
    <row r="17">
      <c r="A17" t="inlineStr" s="7">
        <is>
          <t xml:space="preserve">TS Variable email per order</t>
        </is>
      </c>
      <c r="B17" s="9">
        <f>0.02</f>
        <v>0.02</v>
      </c>
    </row>
    <row r="18">
      <c r="A18" t="inlineStr" s="7">
        <is>
          <t xml:space="preserve">TS Research input tokens</t>
        </is>
      </c>
      <c r="B18" s="12">
        <f>4000</f>
        <v>4000</v>
      </c>
    </row>
    <row r="19">
      <c r="A19" t="inlineStr" s="7">
        <is>
          <t xml:space="preserve">TS Research output tokens</t>
        </is>
      </c>
      <c r="B19" s="12">
        <f>600</f>
        <v>600</v>
      </c>
    </row>
    <row r="20">
      <c r="A20" t="inlineStr" s="7">
        <is>
          <t xml:space="preserve">TS Chat input tokens</t>
        </is>
      </c>
      <c r="B20" s="12">
        <f>3000</f>
        <v>3000</v>
      </c>
    </row>
    <row r="21">
      <c r="A21" t="inlineStr" s="7">
        <is>
          <t xml:space="preserve">TS Chat output tokens</t>
        </is>
      </c>
      <c r="B21" s="12">
        <f>300</f>
        <v>300</v>
      </c>
    </row>
    <row r="22">
      <c r="A22" t="inlineStr" s="7">
        <is>
          <t xml:space="preserve">TS Text input rate per million tokens</t>
        </is>
      </c>
      <c r="B22" s="12">
        <f>2</f>
        <v>2</v>
      </c>
    </row>
    <row r="23">
      <c r="A23" t="inlineStr" s="7">
        <is>
          <t xml:space="preserve">TS Text output rate per million tokens</t>
        </is>
      </c>
      <c r="B23" s="12">
        <f>10</f>
        <v>10</v>
      </c>
    </row>
    <row r="24">
      <c r="A24" t="inlineStr" s="7">
        <is>
          <t xml:space="preserve">TS Image text tokens</t>
        </is>
      </c>
      <c r="B24" s="12">
        <f>150</f>
        <v>150</v>
      </c>
    </row>
    <row r="25">
      <c r="A25" t="inlineStr" s="7">
        <is>
          <t xml:space="preserve">TS Image output tokens</t>
        </is>
      </c>
      <c r="B25" s="12">
        <f>4000</f>
        <v>4000</v>
      </c>
    </row>
    <row r="26">
      <c r="A26" t="inlineStr" s="7">
        <is>
          <t xml:space="preserve">TS Image input tokens</t>
        </is>
      </c>
      <c r="B26" s="12">
        <f>0</f>
        <v>0</v>
      </c>
    </row>
    <row r="27">
      <c r="A27" t="inlineStr" s="7">
        <is>
          <t xml:space="preserve">TS Image text rate per million tokens</t>
        </is>
      </c>
      <c r="B27" s="12">
        <f>5</f>
        <v>5</v>
      </c>
    </row>
    <row r="28">
      <c r="A28" t="inlineStr" s="7">
        <is>
          <t xml:space="preserve">TS Image output rate per million tokens</t>
        </is>
      </c>
      <c r="B28" s="12">
        <f>30</f>
        <v>30</v>
      </c>
    </row>
    <row r="29">
      <c r="A29" t="inlineStr" s="7">
        <is>
          <t xml:space="preserve">TS Image input rate per million tokens</t>
        </is>
      </c>
      <c r="B29" s="12">
        <f>8</f>
        <v>8</v>
      </c>
    </row>
    <row r="30">
      <c r="A30" t="inlineStr" s="7">
        <is>
          <t xml:space="preserve">TS Funding allowance</t>
        </is>
      </c>
      <c r="B30" s="11">
        <f>0.06</f>
        <v>0.06</v>
      </c>
    </row>
    <row r="31">
      <c r="A31" t="inlineStr" s="7">
        <is>
          <t xml:space="preserve">TS Billed retry rate</t>
        </is>
      </c>
      <c r="B31" s="11">
        <f>0</f>
        <v>0</v>
      </c>
    </row>
    <row r="32">
      <c r="A32" t="inlineStr" s="7">
        <is>
          <t xml:space="preserve">TS Monthly marketing</t>
        </is>
      </c>
      <c r="B32" s="9">
        <f>'04 — Scenario comparison — Base'!B18</f>
        <v>300</v>
      </c>
    </row>
    <row r="33">
      <c r="A33" t="inlineStr" s="7">
        <is>
          <t xml:space="preserve">TS Hypothetical opening cash</t>
        </is>
      </c>
      <c r="B33" s="9">
        <f>'04 — Scenario comparison — Base'!B24</f>
        <v>1000</v>
      </c>
    </row>
    <row r="34">
      <c r="A34" t="inlineStr" s="7">
        <is>
          <t xml:space="preserve">TS Alternative opening cash zero</t>
        </is>
      </c>
      <c r="B34" s="9">
        <f>0</f>
        <v>0</v>
      </c>
    </row>
    <row r="35">
      <c r="A35" t="inlineStr" s="7">
        <is>
          <t xml:space="preserve">TS Alternative opening cash funded</t>
        </is>
      </c>
      <c r="B35" s="9">
        <f>5000</f>
        <v>5000</v>
      </c>
    </row>
    <row r="36">
      <c r="A36" t="inlineStr" s="7">
        <is>
          <t xml:space="preserve">TS Founder cash pay bootstrap</t>
        </is>
      </c>
      <c r="B36" s="9">
        <f>0</f>
        <v>0</v>
      </c>
    </row>
    <row r="37">
      <c r="A37" t="inlineStr" s="7">
        <is>
          <t xml:space="preserve">TS Founder cash pay sensitivity</t>
        </is>
      </c>
      <c r="B37" s="9">
        <f>3000</f>
        <v>3000</v>
      </c>
    </row>
    <row r="38">
      <c r="A38" t="inlineStr" s="7">
        <is>
          <t xml:space="preserve">TS Contingency reserve</t>
        </is>
      </c>
      <c r="B38" s="9">
        <f>500</f>
        <v>500</v>
      </c>
    </row>
    <row r="39">
      <c r="A39" t="inlineStr" s="7">
        <is>
          <t xml:space="preserve">TS Payout float days</t>
        </is>
      </c>
      <c r="B39" s="12">
        <f>7</f>
        <v>7</v>
      </c>
    </row>
    <row r="40">
      <c r="A40" t="inlineStr" s="7">
        <is>
          <t xml:space="preserve">TS Cash month days</t>
        </is>
      </c>
      <c r="B40" s="12">
        <f>30</f>
        <v>30</v>
      </c>
    </row>
    <row r="41">
      <c r="A41" t="inlineStr" s="7">
        <is>
          <t xml:space="preserve">TS Postlaunch funding months</t>
        </is>
      </c>
      <c r="B41" s="12">
        <f>6</f>
        <v>6</v>
      </c>
    </row>
    <row r="42">
      <c r="A42" t="inlineStr" s="7">
        <is>
          <t xml:space="preserve">TS Prelaunch months</t>
        </is>
      </c>
      <c r="B42" s="12">
        <f>DATEDIF(DATE(YEAR('01 — Editable assumptions — USD'!B61),MONTH('01 — Editable assumptions — USD'!B61),1),DATE(YEAR('01 — Editable assumptions — USD'!B60),MONTH('01 — Editable assumptions — USD'!B60),1),"M")</f>
        <v>3</v>
      </c>
    </row>
    <row r="43">
      <c r="A43" t="inlineStr" s="7">
        <is>
          <t xml:space="preserve">TS Expected prize cash</t>
        </is>
      </c>
      <c r="B43" s="9">
        <f>0</f>
        <v>0</v>
      </c>
    </row>
    <row r="44">
      <c r="A44" t="inlineStr" s="7">
        <is>
          <t xml:space="preserve">TS Promotional cash subsidy</t>
        </is>
      </c>
      <c r="B44" s="9">
        <f>0</f>
        <v>0</v>
      </c>
    </row>
    <row r="45">
      <c r="A45" t="inlineStr" s="7">
        <is>
          <t xml:space="preserve">TS Physical customer shipping</t>
        </is>
      </c>
      <c r="B45" s="9">
        <f>6</f>
        <v>6</v>
      </c>
    </row>
    <row r="46">
      <c r="A46" t="inlineStr" s="7">
        <is>
          <t xml:space="preserve">TS Physical refund allowance</t>
        </is>
      </c>
      <c r="B46" s="11">
        <f>0.05</f>
        <v>0.05</v>
      </c>
    </row>
    <row r="47">
      <c r="A47" t="inlineStr" s="7">
        <is>
          <t xml:space="preserve">TS Physical support per order</t>
        </is>
      </c>
      <c r="B47" s="9">
        <f>0.5</f>
        <v>0.5</v>
      </c>
    </row>
    <row r="48">
      <c r="A48" t="inlineStr" s="7">
        <is>
          <t xml:space="preserve">TS Physical supplier stress</t>
        </is>
      </c>
      <c r="B48" s="11">
        <f>0.25</f>
        <v>0.25</v>
      </c>
    </row>
    <row r="49">
      <c r="A49" t="inlineStr" s="7">
        <is>
          <t xml:space="preserve">TS Physical float days</t>
        </is>
      </c>
      <c r="B49" s="12">
        <f>14</f>
        <v>14</v>
      </c>
    </row>
    <row r="50">
      <c r="A50" t="inlineStr" s="7">
        <is>
          <t xml:space="preserve">TS Physical illustrative orders</t>
        </is>
      </c>
      <c r="B50" s="12">
        <f>100</f>
        <v>100</v>
      </c>
    </row>
    <row r="51">
      <c r="A51" t="inlineStr" s="7">
        <is>
          <t xml:space="preserve">TS Preview conversion minimum</t>
        </is>
      </c>
      <c r="B51" s="11">
        <f>0.005</f>
        <v>0.005</v>
      </c>
    </row>
    <row r="52">
      <c r="A52" t="inlineStr" s="7">
        <is>
          <t xml:space="preserve">TS Preview conversion maximum</t>
        </is>
      </c>
      <c r="B52" s="11">
        <f>0.04</f>
        <v>0.04</v>
      </c>
    </row>
    <row r="53">
      <c r="A53" t="inlineStr" s="7">
        <is>
          <t xml:space="preserve">TS Preview conversion step</t>
        </is>
      </c>
      <c r="B53" s="11">
        <f>0.001</f>
        <v>0.001</v>
      </c>
    </row>
    <row r="54">
      <c r="A54" t="inlineStr" s="7">
        <is>
          <t xml:space="preserve">TS Preview image minimum</t>
        </is>
      </c>
      <c r="B54" s="12">
        <f>1</f>
        <v>1</v>
      </c>
    </row>
    <row r="55">
      <c r="A55" t="inlineStr" s="7">
        <is>
          <t xml:space="preserve">TS Preview image maximum</t>
        </is>
      </c>
      <c r="B55" s="12">
        <f>6</f>
        <v>6</v>
      </c>
    </row>
    <row r="56">
      <c r="A56" t="inlineStr" s="7">
        <is>
          <t xml:space="preserve">TS Preview image step</t>
        </is>
      </c>
      <c r="B56" s="12">
        <f>0.5</f>
        <v>0.5</v>
      </c>
    </row>
    <row r="57">
      <c r="A57" t="inlineStr" s="7">
        <is>
          <t xml:space="preserve">TS Preview funding minimum</t>
        </is>
      </c>
      <c r="B57" s="11">
        <f>0</f>
        <v>0</v>
      </c>
    </row>
    <row r="58">
      <c r="A58" t="inlineStr" s="7">
        <is>
          <t xml:space="preserve">TS Preview funding maximum</t>
        </is>
      </c>
      <c r="B58" s="11">
        <f>0.1</f>
        <v>0.1</v>
      </c>
    </row>
    <row r="59">
      <c r="A59" t="inlineStr" s="7">
        <is>
          <t xml:space="preserve">TS Preview funding step</t>
        </is>
      </c>
      <c r="B59" s="11">
        <f>0.01</f>
        <v>0.01</v>
      </c>
    </row>
    <row r="60">
      <c r="A60" t="inlineStr" s="7">
        <is>
          <t xml:space="preserve">TS Hypothetical launch date</t>
        </is>
      </c>
      <c r="B60" s="13">
        <f>DATE(2027,1,1)</f>
        <v>46388</v>
      </c>
    </row>
    <row r="61">
      <c r="A61" t="inlineStr" s="5">
        <is>
          <t xml:space="preserve">TS Projection start date</t>
        </is>
      </c>
      <c r="B61" s="14">
        <f>DATE(2026,10,1)</f>
        <v>46296</v>
      </c>
    </row>
  </sheetData>
  <mergeCells count="1">
    <mergeCell ref="A1:B1"/>
  </mergeCells>
</worksheet>
</file>

<file path=xl/worksheets/sheet3.xml><?xml version="1.0" encoding="utf-8"?>
<worksheet xmlns="http://schemas.openxmlformats.org/spreadsheetml/2006/main">
  <dimension ref="A1:B11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02 — Fixed monthly budgets — estimates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TS Fixed budget amount</t>
        </is>
      </c>
    </row>
    <row r="5">
      <c r="A5" t="inlineStr" s="5">
        <is>
          <t xml:space="preserve">Data and API licensing contingency</t>
        </is>
      </c>
      <c r="B5" s="15">
        <f>40</f>
        <v>40</v>
      </c>
    </row>
    <row r="6">
      <c r="A6" t="inlineStr" s="7">
        <is>
          <t xml:space="preserve">Database backup and base storage</t>
        </is>
      </c>
      <c r="B6" s="9">
        <f>30</f>
        <v>30</v>
      </c>
    </row>
    <row r="7">
      <c r="A7" t="inlineStr" s="7">
        <is>
          <t xml:space="preserve">Development AI and tools</t>
        </is>
      </c>
      <c r="B7" s="9">
        <f>60</f>
        <v>60</v>
      </c>
    </row>
    <row r="8">
      <c r="A8" t="inlineStr" s="7">
        <is>
          <t xml:space="preserve">Domain admin and accounting</t>
        </is>
      </c>
      <c r="B8" s="9">
        <f>20</f>
        <v>20</v>
      </c>
    </row>
    <row r="9">
      <c r="A9" t="inlineStr" s="7">
        <is>
          <t xml:space="preserve">Email base provision</t>
        </is>
      </c>
      <c r="B9" s="9">
        <f>20</f>
        <v>20</v>
      </c>
    </row>
    <row r="10">
      <c r="A10" t="inlineStr" s="7">
        <is>
          <t xml:space="preserve">Hosting</t>
        </is>
      </c>
      <c r="B10" s="9">
        <f>80</f>
        <v>80</v>
      </c>
    </row>
    <row r="11">
      <c r="A11" t="inlineStr" s="5">
        <is>
          <t xml:space="preserve">Monitoring traces and security</t>
        </is>
      </c>
      <c r="B11" s="15">
        <f>50</f>
        <v>50</v>
      </c>
    </row>
  </sheetData>
  <mergeCells count="1">
    <mergeCell ref="A1:B1"/>
  </mergeCells>
</worksheet>
</file>

<file path=xl/worksheets/sheet4.xml><?xml version="1.0" encoding="utf-8"?>
<worksheet xmlns="http://schemas.openxmlformats.org/spreadsheetml/2006/main">
  <dimension ref="A1:B50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</cols>
  <sheetData>
    <row r="1" ht="32" customHeight="1">
      <c r="A1" t="inlineStr" s="1">
        <is>
          <t xml:space="preserve">03 — Digital unit economics and funding — monthly assumptions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Value</t>
        </is>
      </c>
    </row>
    <row r="5">
      <c r="A5" t="inlineStr" s="5">
        <is>
          <t xml:space="preserve">TS Research cost per start</t>
        </is>
      </c>
      <c r="B5" s="16">
        <f>'01 — Editable assumptions — USD'!B18*'01 — Editable assumptions — USD'!B22/1000000+'01 — Editable assumptions — USD'!B19*'01 — Editable assumptions — USD'!B23/1000000</f>
        <v>0.014</v>
      </c>
    </row>
    <row r="6">
      <c r="A6" t="inlineStr" s="7">
        <is>
          <t xml:space="preserve">TS Chat cost per call</t>
        </is>
      </c>
      <c r="B6" s="17">
        <f>'01 — Editable assumptions — USD'!B20*'01 — Editable assumptions — USD'!B22/1000000+'01 — Editable assumptions — USD'!B21*'01 — Editable assumptions — USD'!B23/1000000</f>
        <v>0.009000000000000001</v>
      </c>
    </row>
    <row r="7">
      <c r="A7" t="inlineStr" s="7">
        <is>
          <t xml:space="preserve">TS Image cost per generation</t>
        </is>
      </c>
      <c r="B7" s="17">
        <f>'01 — Editable assumptions — USD'!B24*'01 — Editable assumptions — USD'!B27/1000000+'01 — Editable assumptions — USD'!B25*'01 — Editable assumptions — USD'!B28/1000000+'01 — Editable assumptions — USD'!B26*'01 — Editable assumptions — USD'!B29/1000000</f>
        <v>0.12075</v>
      </c>
    </row>
    <row r="8">
      <c r="A8" t="inlineStr" s="7">
        <is>
          <t xml:space="preserve">TS Images per start</t>
        </is>
      </c>
      <c r="B8" s="12">
        <f>'01 — Editable assumptions — USD'!B8+'01 — Editable assumptions — USD'!B9</f>
        <v>2</v>
      </c>
    </row>
    <row r="9">
      <c r="A9" t="inlineStr" s="7">
        <is>
          <t xml:space="preserve">TS AI cost per start</t>
        </is>
      </c>
      <c r="B9" s="17">
        <f>('03 — Digital unit economics and'!B5+'04 — Scenario comparison — Base'!B9*'03 — Digital unit economics and'!B6+'03 — Digital unit economics and'!B8*'03 — Digital unit economics and'!B7)*(1+'01 — Editable assumptions — USD'!B30)*(1+'01 — Editable assumptions — USD'!B31)</f>
        <v>0.30899</v>
      </c>
    </row>
    <row r="10">
      <c r="A10" t="inlineStr" s="7">
        <is>
          <t xml:space="preserve">TS Studio starts</t>
        </is>
      </c>
      <c r="B10" s="12">
        <f>'04 — Scenario comparison — Base'!B5*'04 — Scenario comparison — Base'!B6</f>
        <v>1000</v>
      </c>
    </row>
    <row r="11">
      <c r="A11" t="inlineStr" s="7">
        <is>
          <t xml:space="preserve">TS Digital orders</t>
        </is>
      </c>
      <c r="B11" s="12">
        <f>'04 — Scenario comparison — Base'!B5*'04 — Scenario comparison — Base'!B7</f>
        <v>200</v>
      </c>
    </row>
    <row r="12">
      <c r="A12" t="inlineStr" s="7">
        <is>
          <t xml:space="preserve">TS Monthly digital revenue</t>
        </is>
      </c>
      <c r="B12" s="9">
        <f>'03 — Digital unit economics and'!B11*'01 — Editable assumptions — USD'!B11</f>
        <v>1800</v>
      </c>
    </row>
    <row r="13">
      <c r="A13" t="inlineStr" s="7">
        <is>
          <t xml:space="preserve">TS Monthly AI spend</t>
        </is>
      </c>
      <c r="B13" s="9">
        <f>'03 — Digital unit economics and'!B10*'03 — Digital unit economics and'!B9</f>
        <v>308.99</v>
      </c>
    </row>
    <row r="14">
      <c r="A14" t="inlineStr" s="7">
        <is>
          <t xml:space="preserve">TS AI cost per paid order</t>
        </is>
      </c>
      <c r="B14" s="17">
        <f>IFERROR('03 — Digital unit economics and'!B13/'03 — Digital unit economics and'!B11,"")</f>
        <v>1.54495</v>
      </c>
    </row>
    <row r="15">
      <c r="A15" t="inlineStr" s="7">
        <is>
          <t xml:space="preserve">TS Payment fee per order</t>
        </is>
      </c>
      <c r="B15" s="9">
        <f>'01 — Editable assumptions — USD'!B11*'01 — Editable assumptions — USD'!B12+'01 — Editable assumptions — USD'!B13</f>
        <v>0.5609999999999999</v>
      </c>
    </row>
    <row r="16">
      <c r="A16" t="inlineStr" s="7">
        <is>
          <t xml:space="preserve">TS Refund allowance per order</t>
        </is>
      </c>
      <c r="B16" s="9">
        <f>'01 — Editable assumptions — USD'!B11*'01 — Editable assumptions — USD'!B14</f>
        <v>0.18</v>
      </c>
    </row>
    <row r="17">
      <c r="A17" t="inlineStr" s="7">
        <is>
          <t xml:space="preserve">TS Variable operations per order</t>
        </is>
      </c>
      <c r="B17" s="9">
        <f>'01 — Editable assumptions — USD'!B15+'01 — Editable assumptions — USD'!B16+'01 — Editable assumptions — USD'!B17</f>
        <v>0.2</v>
      </c>
    </row>
    <row r="18">
      <c r="A18" t="inlineStr" s="7">
        <is>
          <t xml:space="preserve">TS Digital contribution per order</t>
        </is>
      </c>
      <c r="B18" s="17">
        <f>'01 — Editable assumptions — USD'!B11-'03 — Digital unit economics and'!B15-'03 — Digital unit economics and'!B16-'03 — Digital unit economics and'!B17-'03 — Digital unit economics and'!B14</f>
        <v>6.514050000000001</v>
      </c>
    </row>
    <row r="19">
      <c r="A19" t="inlineStr" s="7">
        <is>
          <t xml:space="preserve">TS Digital contribution margin</t>
        </is>
      </c>
      <c r="B19" s="11">
        <f>IFERROR('03 — Digital unit economics and'!B18/'01 — Editable assumptions — USD'!B11,"")</f>
        <v>0.7237833333333334</v>
      </c>
    </row>
    <row r="20">
      <c r="A20" t="inlineStr" s="7">
        <is>
          <t xml:space="preserve">TS Monthly contribution</t>
        </is>
      </c>
      <c r="B20" s="9">
        <f>'03 — Digital unit economics and'!B11*'03 — Digital unit economics and'!B18</f>
        <v>1302.8100000000002</v>
      </c>
    </row>
    <row r="21">
      <c r="A21" t="inlineStr" s="7">
        <is>
          <t xml:space="preserve">TS Monthly variable costs</t>
        </is>
      </c>
      <c r="B21" s="9">
        <f>'03 — Digital unit economics and'!B13+'03 — Digital unit economics and'!B11*('03 — Digital unit economics and'!B15+'03 — Digital unit economics and'!B16+'03 — Digital unit economics and'!B17)</f>
        <v>497.19</v>
      </c>
    </row>
    <row r="22">
      <c r="A22" t="inlineStr" s="7">
        <is>
          <t xml:space="preserve">TS Fixed monthly budget</t>
        </is>
      </c>
      <c r="B22" s="9">
        <f>SUM('02 — Fixed monthly budgets — es'!B5,'02 — Fixed monthly budgets — es'!B6,'02 — Fixed monthly budgets — es'!B7,'02 — Fixed monthly budgets — es'!B8,'02 — Fixed monthly budgets — es'!B9,'02 — Fixed monthly budgets — es'!B10,'02 — Fixed monthly budgets — es'!B11)</f>
        <v>300</v>
      </c>
    </row>
    <row r="23">
      <c r="A23" t="inlineStr" s="7">
        <is>
          <t xml:space="preserve">TS Monthly operating profit bootstrap</t>
        </is>
      </c>
      <c r="B23" s="9">
        <f>'03 — Digital unit economics and'!B20-'03 — Digital unit economics and'!B22-'04 — Scenario comparison — Base'!B18-'01 — Editable assumptions — USD'!B36</f>
        <v>702.8100000000002</v>
      </c>
    </row>
    <row r="24">
      <c r="A24" t="inlineStr" s="7">
        <is>
          <t xml:space="preserve">TS Monthly operating profit founder</t>
        </is>
      </c>
      <c r="B24" s="9">
        <f>'03 — Digital unit economics and'!B20-'03 — Digital unit economics and'!B22-'04 — Scenario comparison — Base'!B18-'01 — Editable assumptions — USD'!B37</f>
        <v>-2297.1899999999996</v>
      </c>
    </row>
    <row r="25">
      <c r="A25" t="inlineStr" s="7">
        <is>
          <t xml:space="preserve">TS Break-even orders bootstrap</t>
        </is>
      </c>
      <c r="B25" s="12">
        <f>IF(IF(IF(ISERROR('03 — Digital unit economics and'!B18&gt;0),'03 — Digital unit economics and'!B18&gt;0,IF('03 — Digital unit economics and'!B18="","",'03 — Digital unit economics and'!B18&gt;0))="",FALSE,IF(ISERROR('03 — Digital unit economics and'!B18&gt;0),'03 — Digital unit economics and'!B18&gt;0,IF('03 — Digital unit economics and'!B18="","",'03 — Digital unit economics and'!B18&gt;0))),CEILING(('03 — Digital unit economics and'!B22+'04 — Scenario comparison — Base'!B18+'01 — Editable assumptions — USD'!B36)/'03 — Digital unit economics and'!B18,1),"")</f>
        <v>93</v>
      </c>
    </row>
    <row r="26">
      <c r="A26" t="inlineStr" s="7">
        <is>
          <t xml:space="preserve">TS Break-even orders founder</t>
        </is>
      </c>
      <c r="B26" s="12">
        <f>IF(IF(IF(ISERROR('03 — Digital unit economics and'!B18&gt;0),'03 — Digital unit economics and'!B18&gt;0,IF('03 — Digital unit economics and'!B18="","",'03 — Digital unit economics and'!B18&gt;0))="",FALSE,IF(ISERROR('03 — Digital unit economics and'!B18&gt;0),'03 — Digital unit economics and'!B18&gt;0,IF('03 — Digital unit economics and'!B18="","",'03 — Digital unit economics and'!B18&gt;0))),CEILING(('03 — Digital unit economics and'!B22+'04 — Scenario comparison — Base'!B18+'01 — Editable assumptions — USD'!B37)/'03 — Digital unit economics and'!B18,1),"")</f>
        <v>553</v>
      </c>
    </row>
    <row r="27">
      <c r="A27" t="inlineStr" s="7">
        <is>
          <t xml:space="preserve">TS Economics reconciliation</t>
        </is>
      </c>
      <c r="B27" s="9">
        <f>'03 — Digital unit economics and'!B12-'03 — Digital unit economics and'!B21-'03 — Digital unit economics and'!B20</f>
        <v>-0.00000000000022737367544323206</v>
      </c>
    </row>
    <row r="28">
      <c r="A28" t="inlineStr" s="7">
        <is>
          <t xml:space="preserve">TS Launch reserve</t>
        </is>
      </c>
      <c r="B28" s="9">
        <f>'01 — Editable assumptions — USD'!B38+'01 — Editable assumptions — USD'!B39/'01 — Editable assumptions — USD'!B40*'03 — Digital unit economics and'!B21</f>
        <v>616.011</v>
      </c>
    </row>
    <row r="29">
      <c r="A29" t="inlineStr" s="7">
        <is>
          <t xml:space="preserve">TS Monthly burn bootstrap</t>
        </is>
      </c>
      <c r="B29" s="9">
        <f>MAX(0,-'03 — Digital unit economics and'!B23)</f>
        <v>0</v>
      </c>
    </row>
    <row r="30">
      <c r="A30" t="inlineStr" s="7">
        <is>
          <t xml:space="preserve">TS Monthly burn founder</t>
        </is>
      </c>
      <c r="B30" s="9">
        <f>MAX(0,-'03 — Digital unit economics and'!B24)</f>
        <v>2297.1899999999996</v>
      </c>
    </row>
    <row r="31">
      <c r="A31" t="inlineStr" s="7">
        <is>
          <t xml:space="preserve">TS Runway months bootstrap</t>
        </is>
      </c>
      <c r="B31" t="str" s="12">
        <f>IF(IF(IF(ISERROR('03 — Digital unit economics and'!B29&gt;0),'03 — Digital unit economics and'!B29&gt;0,IF('03 — Digital unit economics and'!B29="","",'03 — Digital unit economics and'!B29&gt;0))="",FALSE,IF(ISERROR('03 — Digital unit economics and'!B29&gt;0),'03 — Digital unit economics and'!B29&gt;0,IF('03 — Digital unit economics and'!B29="","",'03 — Digital unit economics and'!B29&gt;0))),MAX(0,'04 — Scenario comparison — Base'!B24-'03 — Digital unit economics and'!B28)/'03 — Digital unit economics and'!B29,"")</f>
        <v/>
      </c>
    </row>
    <row r="32">
      <c r="A32" t="inlineStr" s="7">
        <is>
          <t xml:space="preserve">TS Runway months founder</t>
        </is>
      </c>
      <c r="B32" s="12">
        <f>IF(IF(IF(ISERROR('03 — Digital unit economics and'!B30&gt;0),'03 — Digital unit economics and'!B30&gt;0,IF('03 — Digital unit economics and'!B30="","",'03 — Digital unit economics and'!B30&gt;0))="",FALSE,IF(ISERROR('03 — Digital unit economics and'!B30&gt;0),'03 — Digital unit economics and'!B30&gt;0,IF('03 — Digital unit economics and'!B30="","",'03 — Digital unit economics and'!B30&gt;0))),MAX(0,'04 — Scenario comparison — Base'!B24-'03 — Digital unit economics and'!B28)/'03 — Digital unit economics and'!B30,"")</f>
        <v>0.1671559601077839</v>
      </c>
    </row>
    <row r="33">
      <c r="A33" t="inlineStr" s="7">
        <is>
          <t xml:space="preserve">TS Runway at zero bootstrap</t>
        </is>
      </c>
      <c r="B33" t="str" s="12">
        <f>IF(IF(IF(ISERROR('03 — Digital unit economics and'!B29&gt;0),'03 — Digital unit economics and'!B29&gt;0,IF('03 — Digital unit economics and'!B29="","",'03 — Digital unit economics and'!B29&gt;0))="",FALSE,IF(ISERROR('03 — Digital unit economics and'!B29&gt;0),'03 — Digital unit economics and'!B29&gt;0,IF('03 — Digital unit economics and'!B29="","",'03 — Digital unit economics and'!B29&gt;0))),MAX(0,'01 — Editable assumptions — USD'!B34-'03 — Digital unit economics and'!B28)/'03 — Digital unit economics and'!B29,"")</f>
        <v/>
      </c>
    </row>
    <row r="34">
      <c r="A34" t="inlineStr" s="7">
        <is>
          <t xml:space="preserve">TS Runway at zero founder</t>
        </is>
      </c>
      <c r="B34" s="12">
        <f>IF(IF(IF(ISERROR('03 — Digital unit economics and'!B30&gt;0),'03 — Digital unit economics and'!B30&gt;0,IF('03 — Digital unit economics and'!B30="","",'03 — Digital unit economics and'!B30&gt;0))="",FALSE,IF(ISERROR('03 — Digital unit economics and'!B30&gt;0),'03 — Digital unit economics and'!B30&gt;0,IF('03 — Digital unit economics and'!B30="","",'03 — Digital unit economics and'!B30&gt;0))),MAX(0,'01 — Editable assumptions — USD'!B34-'03 — Digital unit economics and'!B28)/'03 — Digital unit economics and'!B30,"")</f>
        <v>0</v>
      </c>
    </row>
    <row r="35">
      <c r="A35" t="inlineStr" s="7">
        <is>
          <t xml:space="preserve">TS Runway at funded bootstrap</t>
        </is>
      </c>
      <c r="B35" t="str" s="12">
        <f>IF(IF(IF(ISERROR('03 — Digital unit economics and'!B29&gt;0),'03 — Digital unit economics and'!B29&gt;0,IF('03 — Digital unit economics and'!B29="","",'03 — Digital unit economics and'!B29&gt;0))="",FALSE,IF(ISERROR('03 — Digital unit economics and'!B29&gt;0),'03 — Digital unit economics and'!B29&gt;0,IF('03 — Digital unit economics and'!B29="","",'03 — Digital unit economics and'!B29&gt;0))),MAX(0,'01 — Editable assumptions — USD'!B35-'03 — Digital unit economics and'!B28)/'03 — Digital unit economics and'!B29,"")</f>
        <v/>
      </c>
    </row>
    <row r="36">
      <c r="A36" t="inlineStr" s="7">
        <is>
          <t xml:space="preserve">TS Runway at funded founder</t>
        </is>
      </c>
      <c r="B36" s="12">
        <f>IF(IF(IF(ISERROR('03 — Digital unit economics and'!B30&gt;0),'03 — Digital unit economics and'!B30&gt;0,IF('03 — Digital unit economics and'!B30="","",'03 — Digital unit economics and'!B30&gt;0))="",FALSE,IF(ISERROR('03 — Digital unit economics and'!B30&gt;0),'03 — Digital unit economics and'!B30&gt;0,IF('03 — Digital unit economics and'!B30="","",'03 — Digital unit economics and'!B30&gt;0))),MAX(0,'01 — Editable assumptions — USD'!B35-'03 — Digital unit economics and'!B28)/'03 — Digital unit economics and'!B30,"")</f>
        <v>1.9084137576778588</v>
      </c>
    </row>
    <row r="37">
      <c r="A37" t="inlineStr" s="7">
        <is>
          <t xml:space="preserve">TS Launch funding gap</t>
        </is>
      </c>
      <c r="B37" s="9">
        <f>MAX(0,'03 — Digital unit economics and'!B28-'04 — Scenario comparison — Base'!B24)</f>
        <v>0</v>
      </c>
    </row>
    <row r="38">
      <c r="A38" t="inlineStr" s="7">
        <is>
          <t xml:space="preserve">TS Six month funding bootstrap</t>
        </is>
      </c>
      <c r="B38" s="9">
        <f>'03 — Digital unit economics and'!B28+'01 — Editable assumptions — USD'!B41*'03 — Digital unit economics and'!B29</f>
        <v>616.011</v>
      </c>
    </row>
    <row r="39">
      <c r="A39" t="inlineStr" s="7">
        <is>
          <t xml:space="preserve">TS Six month funding founder</t>
        </is>
      </c>
      <c r="B39" s="9">
        <f>'03 — Digital unit economics and'!B28+'01 — Editable assumptions — USD'!B41*'03 — Digital unit economics and'!B30</f>
        <v>14399.150999999998</v>
      </c>
    </row>
    <row r="40">
      <c r="A40" t="inlineStr" s="7">
        <is>
          <t xml:space="preserve">TS Prelaunch monthly burn bootstrap</t>
        </is>
      </c>
      <c r="B40" s="9">
        <f>'03 — Digital unit economics and'!B22+'04 — Scenario comparison — Base'!B18+'01 — Editable assumptions — USD'!B36</f>
        <v>600</v>
      </c>
    </row>
    <row r="41">
      <c r="A41" t="inlineStr" s="7">
        <is>
          <t xml:space="preserve">TS Prelaunch monthly burn founder</t>
        </is>
      </c>
      <c r="B41" s="9">
        <f>'03 — Digital unit economics and'!B22+'04 — Scenario comparison — Base'!B18+'01 — Editable assumptions — USD'!B37</f>
        <v>3600</v>
      </c>
    </row>
    <row r="42">
      <c r="A42" t="inlineStr" s="7">
        <is>
          <t xml:space="preserve">TS Ramp funding bootstrap</t>
        </is>
      </c>
      <c r="B42" s="9">
        <f>'01 — Editable assumptions — USD'!B42*'03 — Digital unit economics and'!B40+'03 — Digital unit economics and'!B38</f>
        <v>2416.011</v>
      </c>
    </row>
    <row r="43">
      <c r="A43" t="inlineStr" s="7">
        <is>
          <t xml:space="preserve">TS Ramp funding founder</t>
        </is>
      </c>
      <c r="B43" s="9">
        <f>'01 — Editable assumptions — USD'!B42*'03 — Digital unit economics and'!B41+'03 — Digital unit economics and'!B39</f>
        <v>25199.150999999998</v>
      </c>
    </row>
    <row r="44">
      <c r="A44" t="inlineStr" s="7">
        <is>
          <t xml:space="preserve">TS Ramp funding gap bootstrap</t>
        </is>
      </c>
      <c r="B44" s="9">
        <f>MAX(0,'03 — Digital unit economics and'!B42-'04 — Scenario comparison — Base'!B24)</f>
        <v>1416.011</v>
      </c>
    </row>
    <row r="45">
      <c r="A45" t="inlineStr" s="7">
        <is>
          <t xml:space="preserve">TS Ramp funding gap founder</t>
        </is>
      </c>
      <c r="B45" s="9">
        <f>MAX(0,'03 — Digital unit economics and'!B43-'04 — Scenario comparison — Base'!B24)</f>
        <v>24199.150999999998</v>
      </c>
    </row>
    <row r="46">
      <c r="A46" t="inlineStr" s="7">
        <is>
          <t xml:space="preserve">TS Launch status</t>
        </is>
      </c>
      <c r="B46" t="str" s="8">
        <f>IF(IF(IF(ISERROR('04 — Scenario comparison — Base'!B24&lt;'03 — Digital unit economics and'!B28),'04 — Scenario comparison — Base'!B24&lt;'03 — Digital unit economics and'!B28,IF(OR('04 — Scenario comparison — Base'!B24="",'03 — Digital unit economics and'!B28=""),"",'04 — Scenario comparison — Base'!B24&lt;'03 — Digital unit economics and'!B28))="",FALSE,IF(ISERROR('04 — Scenario comparison — Base'!B24&lt;'03 — Digital unit economics and'!B28),'04 — Scenario comparison — Base'!B24&lt;'03 — Digital unit economics and'!B28,IF(OR('04 — Scenario comparison — Base'!B24="",'03 — Digital unit economics and'!B28=""),"",'04 — Scenario comparison — Base'!B24&lt;'03 — Digital unit economics and'!B28))),"UNFUNDED LAUNCH","Reserve funded; ramp still required")</f>
        <v>Reserve funded; ramp still required</v>
      </c>
    </row>
    <row r="47">
      <c r="A47" t="inlineStr" s="7">
        <is>
          <t xml:space="preserve">TS Zero cash launch status</t>
        </is>
      </c>
      <c r="B47" t="str" s="8">
        <f>IF(IF(IF(ISERROR('01 — Editable assumptions — USD'!B34&lt;'03 — Digital unit economics and'!B28),'01 — Editable assumptions — USD'!B34&lt;'03 — Digital unit economics and'!B28,IF(OR('01 — Editable assumptions — USD'!B34="",'03 — Digital unit economics and'!B28=""),"",'01 — Editable assumptions — USD'!B34&lt;'03 — Digital unit economics and'!B28))="",FALSE,IF(ISERROR('01 — Editable assumptions — USD'!B34&lt;'03 — Digital unit economics and'!B28),'01 — Editable assumptions — USD'!B34&lt;'03 — Digital unit economics and'!B28,IF(OR('01 — Editable assumptions — USD'!B34="",'03 — Digital unit economics and'!B28=""),"",'01 — Editable assumptions — USD'!B34&lt;'03 — Digital unit economics and'!B28))),"UNFUNDED LAUNCH","Reserve funded; ramp still required")</f>
        <v>UNFUNDED LAUNCH</v>
      </c>
    </row>
    <row r="48">
      <c r="A48" t="inlineStr" s="7">
        <is>
          <t xml:space="preserve">TS Funded cash launch status</t>
        </is>
      </c>
      <c r="B48" t="str" s="8">
        <f>IF(IF(IF(ISERROR('01 — Editable assumptions — USD'!B35&lt;'03 — Digital unit economics and'!B28),'01 — Editable assumptions — USD'!B35&lt;'03 — Digital unit economics and'!B28,IF(OR('01 — Editable assumptions — USD'!B35="",'03 — Digital unit economics and'!B28=""),"",'01 — Editable assumptions — USD'!B35&lt;'03 — Digital unit economics and'!B28))="",FALSE,IF(ISERROR('01 — Editable assumptions — USD'!B35&lt;'03 — Digital unit economics and'!B28),'01 — Editable assumptions — USD'!B35&lt;'03 — Digital unit economics and'!B28,IF(OR('01 — Editable assumptions — USD'!B35="",'03 — Digital unit economics and'!B28=""),"",'01 — Editable assumptions — USD'!B35&lt;'03 — Digital unit economics and'!B28))),"UNFUNDED LAUNCH","Reserve funded; ramp still required")</f>
        <v>Reserve funded; ramp still required</v>
      </c>
    </row>
    <row r="49">
      <c r="A49" t="inlineStr" s="7">
        <is>
          <t xml:space="preserve">TS Bootstrap runway interpretation</t>
        </is>
      </c>
      <c r="B49" t="str" s="8">
        <f>IF(IF(IF(ISERROR('04 — Scenario comparison — Base'!B24&lt;'03 — Digital unit economics and'!B28),'04 — Scenario comparison — Base'!B24&lt;'03 — Digital unit economics and'!B28,IF(OR('04 — Scenario comparison — Base'!B24="",'03 — Digital unit economics and'!B28=""),"",'04 — Scenario comparison — Base'!B24&lt;'03 — Digital unit economics and'!B28))="",FALSE,IF(ISERROR('04 — Scenario comparison — Base'!B24&lt;'03 — Digital unit economics and'!B28),'04 — Scenario comparison — Base'!B24&lt;'03 — Digital unit economics and'!B28,IF(OR('04 — Scenario comparison — Base'!B24="",'03 — Digital unit economics and'!B28=""),"",'04 — Scenario comparison — Base'!B24&lt;'03 — Digital unit economics and'!B28))),"UNFUNDED LAUNCH",IF(IF(IF(ISERROR('03 — Digital unit economics and'!B29=0),'03 — Digital unit economics and'!B29=0,IF('03 — Digital unit economics and'!B29="","",'03 — Digital unit economics and'!B29=0))="",FALSE,IF(ISERROR('03 — Digital unit economics and'!B29=0),'03 — Digital unit economics and'!B29=0,IF('03 — Digital unit economics and'!B29="","",'03 — Digital unit economics and'!B29=0))),"Cash-positive steady state; not guaranteed runway","Finite burn runway; steady-state assumption"))</f>
        <v>Cash-positive steady state; not guaranteed runway</v>
      </c>
    </row>
    <row r="50">
      <c r="A50" t="inlineStr" s="5">
        <is>
          <t xml:space="preserve">TS Founder runway interpretation</t>
        </is>
      </c>
      <c r="B50" t="str" s="6">
        <f>IF(IF(IF(ISERROR('04 — Scenario comparison — Base'!B24&lt;'03 — Digital unit economics and'!B28),'04 — Scenario comparison — Base'!B24&lt;'03 — Digital unit economics and'!B28,IF(OR('04 — Scenario comparison — Base'!B24="",'03 — Digital unit economics and'!B28=""),"",'04 — Scenario comparison — Base'!B24&lt;'03 — Digital unit economics and'!B28))="",FALSE,IF(ISERROR('04 — Scenario comparison — Base'!B24&lt;'03 — Digital unit economics and'!B28),'04 — Scenario comparison — Base'!B24&lt;'03 — Digital unit economics and'!B28,IF(OR('04 — Scenario comparison — Base'!B24="",'03 — Digital unit economics and'!B28=""),"",'04 — Scenario comparison — Base'!B24&lt;'03 — Digital unit economics and'!B28))),"UNFUNDED LAUNCH",IF(IF(IF(ISERROR('03 — Digital unit economics and'!B30=0),'03 — Digital unit economics and'!B30=0,IF('03 — Digital unit economics and'!B30="","",'03 — Digital unit economics and'!B30=0))="",FALSE,IF(ISERROR('03 — Digital unit economics and'!B30=0),'03 — Digital unit economics and'!B30=0,IF('03 — Digital unit economics and'!B30="","",'03 — Digital unit economics and'!B30=0))),"Cash-positive steady state; not guaranteed runway","Finite burn runway; steady-state assumption"))</f>
        <v>Finite burn runway; steady-state assumption</v>
      </c>
    </row>
  </sheetData>
  <mergeCells count="1">
    <mergeCell ref="A1:B1"/>
  </mergeCells>
</worksheet>
</file>

<file path=xl/worksheets/sheet5.xml><?xml version="1.0" encoding="utf-8"?>
<worksheet xmlns="http://schemas.openxmlformats.org/spreadsheetml/2006/main">
  <dimension ref="A1:U19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  <col min="20" max="20" width="19" customWidth="1"/>
    <col min="21" max="21" width="19" customWidth="1"/>
  </cols>
  <sheetData>
    <row r="1" ht="32" customHeight="1">
      <c r="A1" t="inlineStr" s="1">
        <is>
          <t xml:space="preserve">05 — One-factor sensitivities — editable assumptions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TS Sens Traffic multiplier</t>
        </is>
      </c>
      <c r="C4" t="inlineStr" s="4">
        <is>
          <t xml:space="preserve">TS Sens Conversion multiplier</t>
        </is>
      </c>
      <c r="D4" t="inlineStr" s="4">
        <is>
          <t xml:space="preserve">TS Sens Start multiplier</t>
        </is>
      </c>
      <c r="E4" t="inlineStr" s="4">
        <is>
          <t xml:space="preserve">TS Sens Images multiplier</t>
        </is>
      </c>
      <c r="F4" t="inlineStr" s="4">
        <is>
          <t xml:space="preserve">TS Sens Chats multiplier</t>
        </is>
      </c>
      <c r="G4" t="inlineStr" s="4">
        <is>
          <t xml:space="preserve">TS Sens Image output multiplier</t>
        </is>
      </c>
      <c r="H4" t="inlineStr" s="4">
        <is>
          <t xml:space="preserve">TS Sens Funding allowance</t>
        </is>
      </c>
      <c r="I4" t="inlineStr" s="4">
        <is>
          <t xml:space="preserve">TS Sens Image input tokens</t>
        </is>
      </c>
      <c r="J4" t="inlineStr" s="4">
        <is>
          <t xml:space="preserve">TS Sens Retry rate</t>
        </is>
      </c>
      <c r="K4" t="inlineStr" s="4">
        <is>
          <t xml:space="preserve">TS Sens Visits</t>
        </is>
      </c>
      <c r="L4" t="inlineStr" s="4">
        <is>
          <t xml:space="preserve">TS Sens Orders</t>
        </is>
      </c>
      <c r="M4" t="inlineStr" s="4">
        <is>
          <t xml:space="preserve">TS Sens Starts</t>
        </is>
      </c>
      <c r="N4" t="inlineStr" s="4">
        <is>
          <t xml:space="preserve">TS Sens Image cost</t>
        </is>
      </c>
      <c r="O4" t="inlineStr" s="4">
        <is>
          <t xml:space="preserve">TS Sens AI spend</t>
        </is>
      </c>
      <c r="P4" t="inlineStr" s="4">
        <is>
          <t xml:space="preserve">TS Sens AI per order</t>
        </is>
      </c>
      <c r="Q4" t="inlineStr" s="4">
        <is>
          <t xml:space="preserve">TS Sens Revenue</t>
        </is>
      </c>
      <c r="R4" t="inlineStr" s="4">
        <is>
          <t xml:space="preserve">TS Sens Contribution per order</t>
        </is>
      </c>
      <c r="S4" t="inlineStr" s="4">
        <is>
          <t xml:space="preserve">TS Sens Operating profit</t>
        </is>
      </c>
      <c r="T4" t="inlineStr" s="4">
        <is>
          <t xml:space="preserve">TS Sens Profit change</t>
        </is>
      </c>
      <c r="U4" t="inlineStr" s="4">
        <is>
          <t xml:space="preserve">TS Sens Founder profit</t>
        </is>
      </c>
    </row>
    <row r="5">
      <c r="A5" t="inlineStr" s="5">
        <is>
          <t xml:space="preserve">Baseline</t>
        </is>
      </c>
      <c r="B5" s="10">
        <f>1</f>
        <v>1</v>
      </c>
      <c r="C5" s="10">
        <f>1</f>
        <v>1</v>
      </c>
      <c r="D5" s="10">
        <f>1</f>
        <v>1</v>
      </c>
      <c r="E5" s="10">
        <f>1</f>
        <v>1</v>
      </c>
      <c r="F5" s="10">
        <f>1</f>
        <v>1</v>
      </c>
      <c r="G5" s="10">
        <f>1</f>
        <v>1</v>
      </c>
      <c r="H5" s="18">
        <f>IF('01 — Editable assumptions — USD'!B30="","",'01 — Editable assumptions — USD'!B30)</f>
        <v>0.06</v>
      </c>
      <c r="I5" s="10">
        <f>IF('01 — Editable assumptions — USD'!B26="","",'01 — Editable assumptions — USD'!B26)</f>
        <v>0</v>
      </c>
      <c r="J5" s="18">
        <f>IF('01 — Editable assumptions — USD'!B31="","",'01 — Editable assumptions — USD'!B31)</f>
        <v>0</v>
      </c>
      <c r="K5" s="10">
        <f>'04 — Scenario comparison — Base'!B5*'05 — One-factor sensitivities —'!B5</f>
        <v>10000</v>
      </c>
      <c r="L5" s="10">
        <f>'05 — One-factor sensitivities —'!K5*'04 — Scenario comparison — Base'!B7*'05 — One-factor sensitivities —'!C5</f>
        <v>200</v>
      </c>
      <c r="M5" s="10">
        <f>'05 — One-factor sensitivities —'!K5*'04 — Scenario comparison — Base'!B6*'05 — One-factor sensitivities —'!D5</f>
        <v>1000</v>
      </c>
      <c r="N5" s="15">
        <f>'01 — Editable assumptions — USD'!B24*'01 — Editable assumptions — USD'!B27/1000000+'01 — Editable assumptions — USD'!B25*'05 — One-factor sensitivities —'!G5*'01 — Editable assumptions — USD'!B28/1000000+'05 — One-factor sensitivities —'!I5*'01 — Editable assumptions — USD'!B29/1000000</f>
        <v>0.12075</v>
      </c>
      <c r="O5" s="15">
        <f>'05 — One-factor sensitivities —'!M5*('03 — Digital unit economics and'!B5+'04 — Scenario comparison — Base'!B9*'05 — One-factor sensitivities —'!F5*'03 — Digital unit economics and'!B6+'04 — Scenario comparison — Base'!B8*'05 — One-factor sensitivities —'!E5*'05 — One-factor sensitivities —'!N5)*(1+'05 — One-factor sensitivities —'!H5)*(1+'05 — One-factor sensitivities —'!J5)</f>
        <v>308.99</v>
      </c>
      <c r="P5" s="15">
        <f>IFERROR('05 — One-factor sensitivities —'!O5/'05 — One-factor sensitivities —'!L5,"")</f>
        <v>1.54495</v>
      </c>
      <c r="Q5" s="15">
        <f>'05 — One-factor sensitivities —'!L5*'01 — Editable assumptions — USD'!B11</f>
        <v>1800</v>
      </c>
      <c r="R5" s="15">
        <f>'01 — Editable assumptions — USD'!B11-'03 — Digital unit economics and'!B15-'03 — Digital unit economics and'!B16-'03 — Digital unit economics and'!B17-'05 — One-factor sensitivities —'!P5</f>
        <v>6.514050000000001</v>
      </c>
      <c r="S5" s="15">
        <f>'05 — One-factor sensitivities —'!L5*('01 — Editable assumptions — USD'!B11-'03 — Digital unit economics and'!B15-'03 — Digital unit economics and'!B16-'03 — Digital unit economics and'!B17)-'05 — One-factor sensitivities —'!O5-'04 — Scenario comparison — Base'!B17-'04 — Scenario comparison — Base'!B18-'01 — Editable assumptions — USD'!B36</f>
        <v>702.8100000000002</v>
      </c>
      <c r="T5" s="15">
        <f>'05 — One-factor sensitivities —'!S5-'04 — Scenario comparison — Base'!B19</f>
        <v>0</v>
      </c>
      <c r="U5" s="15">
        <f>'05 — One-factor sensitivities —'!S5+'01 — Editable assumptions — USD'!B36-'01 — Editable assumptions — USD'!B37</f>
        <v>-2297.1899999999996</v>
      </c>
    </row>
    <row r="6">
      <c r="A6" t="inlineStr" s="7">
        <is>
          <t xml:space="preserve">Billed retries 10 percent</t>
        </is>
      </c>
      <c r="B6" s="12">
        <f>1</f>
        <v>1</v>
      </c>
      <c r="C6" s="12">
        <f>1</f>
        <v>1</v>
      </c>
      <c r="D6" s="12">
        <f>1</f>
        <v>1</v>
      </c>
      <c r="E6" s="12">
        <f>1</f>
        <v>1</v>
      </c>
      <c r="F6" s="12">
        <f>1</f>
        <v>1</v>
      </c>
      <c r="G6" s="12">
        <f>1</f>
        <v>1</v>
      </c>
      <c r="H6" s="11">
        <f>IF('01 — Editable assumptions — USD'!B30="","",'01 — Editable assumptions — USD'!B30)</f>
        <v>0.06</v>
      </c>
      <c r="I6" s="12">
        <f>IF('01 — Editable assumptions — USD'!B26="","",'01 — Editable assumptions — USD'!B26)</f>
        <v>0</v>
      </c>
      <c r="J6" s="11">
        <f>0.1</f>
        <v>0.1</v>
      </c>
      <c r="K6" s="12">
        <f>'04 — Scenario comparison — Base'!B5*'05 — One-factor sensitivities —'!B6</f>
        <v>10000</v>
      </c>
      <c r="L6" s="12">
        <f>'05 — One-factor sensitivities —'!K6*'04 — Scenario comparison — Base'!B7*'05 — One-factor sensitivities —'!C6</f>
        <v>200</v>
      </c>
      <c r="M6" s="12">
        <f>'05 — One-factor sensitivities —'!K6*'04 — Scenario comparison — Base'!B6*'05 — One-factor sensitivities —'!D6</f>
        <v>1000</v>
      </c>
      <c r="N6" s="9">
        <f>'01 — Editable assumptions — USD'!B24*'01 — Editable assumptions — USD'!B27/1000000+'01 — Editable assumptions — USD'!B25*'05 — One-factor sensitivities —'!G6*'01 — Editable assumptions — USD'!B28/1000000+'05 — One-factor sensitivities —'!I6*'01 — Editable assumptions — USD'!B29/1000000</f>
        <v>0.12075</v>
      </c>
      <c r="O6" s="9">
        <f>'05 — One-factor sensitivities —'!M6*('03 — Digital unit economics and'!B5+'04 — Scenario comparison — Base'!B9*'05 — One-factor sensitivities —'!F6*'03 — Digital unit economics and'!B6+'04 — Scenario comparison — Base'!B8*'05 — One-factor sensitivities —'!E6*'05 — One-factor sensitivities —'!N6)*(1+'05 — One-factor sensitivities —'!H6)*(1+'05 — One-factor sensitivities —'!J6)</f>
        <v>339.889</v>
      </c>
      <c r="P6" s="9">
        <f>IFERROR('05 — One-factor sensitivities —'!O6/'05 — One-factor sensitivities —'!L6,"")</f>
        <v>1.699445</v>
      </c>
      <c r="Q6" s="9">
        <f>'05 — One-factor sensitivities —'!L6*'01 — Editable assumptions — USD'!B11</f>
        <v>1800</v>
      </c>
      <c r="R6" s="9">
        <f>'01 — Editable assumptions — USD'!B11-'03 — Digital unit economics and'!B15-'03 — Digital unit economics and'!B16-'03 — Digital unit economics and'!B17-'05 — One-factor sensitivities —'!P6</f>
        <v>6.359555000000001</v>
      </c>
      <c r="S6" s="9">
        <f>'05 — One-factor sensitivities —'!L6*('01 — Editable assumptions — USD'!B11-'03 — Digital unit economics and'!B15-'03 — Digital unit economics and'!B16-'03 — Digital unit economics and'!B17)-'05 — One-factor sensitivities —'!O6-'04 — Scenario comparison — Base'!B17-'04 — Scenario comparison — Base'!B18-'01 — Editable assumptions — USD'!B36</f>
        <v>671.9110000000001</v>
      </c>
      <c r="T6" s="9">
        <f>'05 — One-factor sensitivities —'!S6-'04 — Scenario comparison — Base'!B19</f>
        <v>-30.899000000000115</v>
      </c>
      <c r="U6" s="9">
        <f>'05 — One-factor sensitivities —'!S6+'01 — Editable assumptions — USD'!B36-'01 — Editable assumptions — USD'!B37</f>
        <v>-2328.089</v>
      </c>
    </row>
    <row r="7">
      <c r="A7" t="inlineStr" s="7">
        <is>
          <t xml:space="preserve">Chats x2 — Base eight per start</t>
        </is>
      </c>
      <c r="B7" s="12">
        <f>1</f>
        <v>1</v>
      </c>
      <c r="C7" s="12">
        <f>1</f>
        <v>1</v>
      </c>
      <c r="D7" s="12">
        <f>1</f>
        <v>1</v>
      </c>
      <c r="E7" s="12">
        <f>1</f>
        <v>1</v>
      </c>
      <c r="F7" s="12">
        <f>2</f>
        <v>2</v>
      </c>
      <c r="G7" s="12">
        <f>1</f>
        <v>1</v>
      </c>
      <c r="H7" s="11">
        <f>IF('01 — Editable assumptions — USD'!B30="","",'01 — Editable assumptions — USD'!B30)</f>
        <v>0.06</v>
      </c>
      <c r="I7" s="12">
        <f>IF('01 — Editable assumptions — USD'!B26="","",'01 — Editable assumptions — USD'!B26)</f>
        <v>0</v>
      </c>
      <c r="J7" s="11">
        <f>IF('01 — Editable assumptions — USD'!B31="","",'01 — Editable assumptions — USD'!B31)</f>
        <v>0</v>
      </c>
      <c r="K7" s="12">
        <f>'04 — Scenario comparison — Base'!B5*'05 — One-factor sensitivities —'!B7</f>
        <v>10000</v>
      </c>
      <c r="L7" s="12">
        <f>'05 — One-factor sensitivities —'!K7*'04 — Scenario comparison — Base'!B7*'05 — One-factor sensitivities —'!C7</f>
        <v>200</v>
      </c>
      <c r="M7" s="12">
        <f>'05 — One-factor sensitivities —'!K7*'04 — Scenario comparison — Base'!B6*'05 — One-factor sensitivities —'!D7</f>
        <v>1000</v>
      </c>
      <c r="N7" s="9">
        <f>'01 — Editable assumptions — USD'!B24*'01 — Editable assumptions — USD'!B27/1000000+'01 — Editable assumptions — USD'!B25*'05 — One-factor sensitivities —'!G7*'01 — Editable assumptions — USD'!B28/1000000+'05 — One-factor sensitivities —'!I7*'01 — Editable assumptions — USD'!B29/1000000</f>
        <v>0.12075</v>
      </c>
      <c r="O7" s="9">
        <f>'05 — One-factor sensitivities —'!M7*('03 — Digital unit economics and'!B5+'04 — Scenario comparison — Base'!B9*'05 — One-factor sensitivities —'!F7*'03 — Digital unit economics and'!B6+'04 — Scenario comparison — Base'!B8*'05 — One-factor sensitivities —'!E7*'05 — One-factor sensitivities —'!N7)*(1+'05 — One-factor sensitivities —'!H7)*(1+'05 — One-factor sensitivities —'!J7)</f>
        <v>347.15000000000003</v>
      </c>
      <c r="P7" s="9">
        <f>IFERROR('05 — One-factor sensitivities —'!O7/'05 — One-factor sensitivities —'!L7,"")</f>
        <v>1.7357500000000001</v>
      </c>
      <c r="Q7" s="9">
        <f>'05 — One-factor sensitivities —'!L7*'01 — Editable assumptions — USD'!B11</f>
        <v>1800</v>
      </c>
      <c r="R7" s="9">
        <f>'01 — Editable assumptions — USD'!B11-'03 — Digital unit economics and'!B15-'03 — Digital unit economics and'!B16-'03 — Digital unit economics and'!B17-'05 — One-factor sensitivities —'!P7</f>
        <v>6.323250000000001</v>
      </c>
      <c r="S7" s="9">
        <f>'05 — One-factor sensitivities —'!L7*('01 — Editable assumptions — USD'!B11-'03 — Digital unit economics and'!B15-'03 — Digital unit economics and'!B16-'03 — Digital unit economics and'!B17)-'05 — One-factor sensitivities —'!O7-'04 — Scenario comparison — Base'!B17-'04 — Scenario comparison — Base'!B18-'01 — Editable assumptions — USD'!B36</f>
        <v>664.6500000000001</v>
      </c>
      <c r="T7" s="9">
        <f>'05 — One-factor sensitivities —'!S7-'04 — Scenario comparison — Base'!B19</f>
        <v>-38.16000000000008</v>
      </c>
      <c r="U7" s="9">
        <f>'05 — One-factor sensitivities —'!S7+'01 — Editable assumptions — USD'!B36-'01 — Editable assumptions — USD'!B37</f>
        <v>-2335.35</v>
      </c>
    </row>
    <row r="8">
      <c r="A8" t="inlineStr" s="7">
        <is>
          <t xml:space="preserve">Conversion x0.5 — Base 1 percent</t>
        </is>
      </c>
      <c r="B8" s="12">
        <f>1</f>
        <v>1</v>
      </c>
      <c r="C8" s="12">
        <f>0.5</f>
        <v>0.5</v>
      </c>
      <c r="D8" s="12">
        <f>1</f>
        <v>1</v>
      </c>
      <c r="E8" s="12">
        <f>1</f>
        <v>1</v>
      </c>
      <c r="F8" s="12">
        <f>1</f>
        <v>1</v>
      </c>
      <c r="G8" s="12">
        <f>1</f>
        <v>1</v>
      </c>
      <c r="H8" s="11">
        <f>IF('01 — Editable assumptions — USD'!B30="","",'01 — Editable assumptions — USD'!B30)</f>
        <v>0.06</v>
      </c>
      <c r="I8" s="12">
        <f>IF('01 — Editable assumptions — USD'!B26="","",'01 — Editable assumptions — USD'!B26)</f>
        <v>0</v>
      </c>
      <c r="J8" s="11">
        <f>IF('01 — Editable assumptions — USD'!B31="","",'01 — Editable assumptions — USD'!B31)</f>
        <v>0</v>
      </c>
      <c r="K8" s="12">
        <f>'04 — Scenario comparison — Base'!B5*'05 — One-factor sensitivities —'!B8</f>
        <v>10000</v>
      </c>
      <c r="L8" s="12">
        <f>'05 — One-factor sensitivities —'!K8*'04 — Scenario comparison — Base'!B7*'05 — One-factor sensitivities —'!C8</f>
        <v>100</v>
      </c>
      <c r="M8" s="12">
        <f>'05 — One-factor sensitivities —'!K8*'04 — Scenario comparison — Base'!B6*'05 — One-factor sensitivities —'!D8</f>
        <v>1000</v>
      </c>
      <c r="N8" s="9">
        <f>'01 — Editable assumptions — USD'!B24*'01 — Editable assumptions — USD'!B27/1000000+'01 — Editable assumptions — USD'!B25*'05 — One-factor sensitivities —'!G8*'01 — Editable assumptions — USD'!B28/1000000+'05 — One-factor sensitivities —'!I8*'01 — Editable assumptions — USD'!B29/1000000</f>
        <v>0.12075</v>
      </c>
      <c r="O8" s="9">
        <f>'05 — One-factor sensitivities —'!M8*('03 — Digital unit economics and'!B5+'04 — Scenario comparison — Base'!B9*'05 — One-factor sensitivities —'!F8*'03 — Digital unit economics and'!B6+'04 — Scenario comparison — Base'!B8*'05 — One-factor sensitivities —'!E8*'05 — One-factor sensitivities —'!N8)*(1+'05 — One-factor sensitivities —'!H8)*(1+'05 — One-factor sensitivities —'!J8)</f>
        <v>308.99</v>
      </c>
      <c r="P8" s="9">
        <f>IFERROR('05 — One-factor sensitivities —'!O8/'05 — One-factor sensitivities —'!L8,"")</f>
        <v>3.0899</v>
      </c>
      <c r="Q8" s="9">
        <f>'05 — One-factor sensitivities —'!L8*'01 — Editable assumptions — USD'!B11</f>
        <v>900</v>
      </c>
      <c r="R8" s="9">
        <f>'01 — Editable assumptions — USD'!B11-'03 — Digital unit economics and'!B15-'03 — Digital unit economics and'!B16-'03 — Digital unit economics and'!B17-'05 — One-factor sensitivities —'!P8</f>
        <v>4.969100000000001</v>
      </c>
      <c r="S8" s="9">
        <f>'05 — One-factor sensitivities —'!L8*('01 — Editable assumptions — USD'!B11-'03 — Digital unit economics and'!B15-'03 — Digital unit economics and'!B16-'03 — Digital unit economics and'!B17)-'05 — One-factor sensitivities —'!O8-'04 — Scenario comparison — Base'!B17-'04 — Scenario comparison — Base'!B18-'01 — Editable assumptions — USD'!B36</f>
        <v>-103.08999999999992</v>
      </c>
      <c r="T8" s="9">
        <f>'05 — One-factor sensitivities —'!S8-'04 — Scenario comparison — Base'!B19</f>
        <v>-805.9000000000001</v>
      </c>
      <c r="U8" s="9">
        <f>'05 — One-factor sensitivities —'!S8+'01 — Editable assumptions — USD'!B36-'01 — Editable assumptions — USD'!B37</f>
        <v>-3103.09</v>
      </c>
    </row>
    <row r="9">
      <c r="A9" t="inlineStr" s="7">
        <is>
          <t xml:space="preserve">Conversion x1.5 — Base 3 percent</t>
        </is>
      </c>
      <c r="B9" s="12">
        <f>1</f>
        <v>1</v>
      </c>
      <c r="C9" s="12">
        <f>1.5</f>
        <v>1.5</v>
      </c>
      <c r="D9" s="12">
        <f>1</f>
        <v>1</v>
      </c>
      <c r="E9" s="12">
        <f>1</f>
        <v>1</v>
      </c>
      <c r="F9" s="12">
        <f>1</f>
        <v>1</v>
      </c>
      <c r="G9" s="12">
        <f>1</f>
        <v>1</v>
      </c>
      <c r="H9" s="11">
        <f>IF('01 — Editable assumptions — USD'!B30="","",'01 — Editable assumptions — USD'!B30)</f>
        <v>0.06</v>
      </c>
      <c r="I9" s="12">
        <f>IF('01 — Editable assumptions — USD'!B26="","",'01 — Editable assumptions — USD'!B26)</f>
        <v>0</v>
      </c>
      <c r="J9" s="11">
        <f>IF('01 — Editable assumptions — USD'!B31="","",'01 — Editable assumptions — USD'!B31)</f>
        <v>0</v>
      </c>
      <c r="K9" s="12">
        <f>'04 — Scenario comparison — Base'!B5*'05 — One-factor sensitivities —'!B9</f>
        <v>10000</v>
      </c>
      <c r="L9" s="12">
        <f>'05 — One-factor sensitivities —'!K9*'04 — Scenario comparison — Base'!B7*'05 — One-factor sensitivities —'!C9</f>
        <v>300</v>
      </c>
      <c r="M9" s="12">
        <f>'05 — One-factor sensitivities —'!K9*'04 — Scenario comparison — Base'!B6*'05 — One-factor sensitivities —'!D9</f>
        <v>1000</v>
      </c>
      <c r="N9" s="9">
        <f>'01 — Editable assumptions — USD'!B24*'01 — Editable assumptions — USD'!B27/1000000+'01 — Editable assumptions — USD'!B25*'05 — One-factor sensitivities —'!G9*'01 — Editable assumptions — USD'!B28/1000000+'05 — One-factor sensitivities —'!I9*'01 — Editable assumptions — USD'!B29/1000000</f>
        <v>0.12075</v>
      </c>
      <c r="O9" s="9">
        <f>'05 — One-factor sensitivities —'!M9*('03 — Digital unit economics and'!B5+'04 — Scenario comparison — Base'!B9*'05 — One-factor sensitivities —'!F9*'03 — Digital unit economics and'!B6+'04 — Scenario comparison — Base'!B8*'05 — One-factor sensitivities —'!E9*'05 — One-factor sensitivities —'!N9)*(1+'05 — One-factor sensitivities —'!H9)*(1+'05 — One-factor sensitivities —'!J9)</f>
        <v>308.99</v>
      </c>
      <c r="P9" s="9">
        <f>IFERROR('05 — One-factor sensitivities —'!O9/'05 — One-factor sensitivities —'!L9,"")</f>
        <v>1.0299666666666667</v>
      </c>
      <c r="Q9" s="9">
        <f>'05 — One-factor sensitivities —'!L9*'01 — Editable assumptions — USD'!B11</f>
        <v>2700</v>
      </c>
      <c r="R9" s="9">
        <f>'01 — Editable assumptions — USD'!B11-'03 — Digital unit economics and'!B15-'03 — Digital unit economics and'!B16-'03 — Digital unit economics and'!B17-'05 — One-factor sensitivities —'!P9</f>
        <v>7.029033333333334</v>
      </c>
      <c r="S9" s="9">
        <f>'05 — One-factor sensitivities —'!L9*('01 — Editable assumptions — USD'!B11-'03 — Digital unit economics and'!B15-'03 — Digital unit economics and'!B16-'03 — Digital unit economics and'!B17)-'05 — One-factor sensitivities —'!O9-'04 — Scenario comparison — Base'!B17-'04 — Scenario comparison — Base'!B18-'01 — Editable assumptions — USD'!B36</f>
        <v>1508.71</v>
      </c>
      <c r="T9" s="9">
        <f>'05 — One-factor sensitivities —'!S9-'04 — Scenario comparison — Base'!B19</f>
        <v>805.8999999999999</v>
      </c>
      <c r="U9" s="9">
        <f>'05 — One-factor sensitivities —'!S9+'01 — Editable assumptions — USD'!B36-'01 — Editable assumptions — USD'!B37</f>
        <v>-1491.29</v>
      </c>
    </row>
    <row r="10">
      <c r="A10" t="inlineStr" s="7">
        <is>
          <t xml:space="preserve">Double traffic</t>
        </is>
      </c>
      <c r="B10" s="12">
        <f>2</f>
        <v>2</v>
      </c>
      <c r="C10" s="12">
        <f>1</f>
        <v>1</v>
      </c>
      <c r="D10" s="12">
        <f>1</f>
        <v>1</v>
      </c>
      <c r="E10" s="12">
        <f>1</f>
        <v>1</v>
      </c>
      <c r="F10" s="12">
        <f>1</f>
        <v>1</v>
      </c>
      <c r="G10" s="12">
        <f>1</f>
        <v>1</v>
      </c>
      <c r="H10" s="11">
        <f>IF('01 — Editable assumptions — USD'!B30="","",'01 — Editable assumptions — USD'!B30)</f>
        <v>0.06</v>
      </c>
      <c r="I10" s="12">
        <f>IF('01 — Editable assumptions — USD'!B26="","",'01 — Editable assumptions — USD'!B26)</f>
        <v>0</v>
      </c>
      <c r="J10" s="11">
        <f>IF('01 — Editable assumptions — USD'!B31="","",'01 — Editable assumptions — USD'!B31)</f>
        <v>0</v>
      </c>
      <c r="K10" s="12">
        <f>'04 — Scenario comparison — Base'!B5*'05 — One-factor sensitivities —'!B10</f>
        <v>20000</v>
      </c>
      <c r="L10" s="12">
        <f>'05 — One-factor sensitivities —'!K10*'04 — Scenario comparison — Base'!B7*'05 — One-factor sensitivities —'!C10</f>
        <v>400</v>
      </c>
      <c r="M10" s="12">
        <f>'05 — One-factor sensitivities —'!K10*'04 — Scenario comparison — Base'!B6*'05 — One-factor sensitivities —'!D10</f>
        <v>2000</v>
      </c>
      <c r="N10" s="9">
        <f>'01 — Editable assumptions — USD'!B24*'01 — Editable assumptions — USD'!B27/1000000+'01 — Editable assumptions — USD'!B25*'05 — One-factor sensitivities —'!G10*'01 — Editable assumptions — USD'!B28/1000000+'05 — One-factor sensitivities —'!I10*'01 — Editable assumptions — USD'!B29/1000000</f>
        <v>0.12075</v>
      </c>
      <c r="O10" s="9">
        <f>'05 — One-factor sensitivities —'!M10*('03 — Digital unit economics and'!B5+'04 — Scenario comparison — Base'!B9*'05 — One-factor sensitivities —'!F10*'03 — Digital unit economics and'!B6+'04 — Scenario comparison — Base'!B8*'05 — One-factor sensitivities —'!E10*'05 — One-factor sensitivities —'!N10)*(1+'05 — One-factor sensitivities —'!H10)*(1+'05 — One-factor sensitivities —'!J10)</f>
        <v>617.98</v>
      </c>
      <c r="P10" s="9">
        <f>IFERROR('05 — One-factor sensitivities —'!O10/'05 — One-factor sensitivities —'!L10,"")</f>
        <v>1.54495</v>
      </c>
      <c r="Q10" s="9">
        <f>'05 — One-factor sensitivities —'!L10*'01 — Editable assumptions — USD'!B11</f>
        <v>3600</v>
      </c>
      <c r="R10" s="9">
        <f>'01 — Editable assumptions — USD'!B11-'03 — Digital unit economics and'!B15-'03 — Digital unit economics and'!B16-'03 — Digital unit economics and'!B17-'05 — One-factor sensitivities —'!P10</f>
        <v>6.514050000000001</v>
      </c>
      <c r="S10" s="9">
        <f>'05 — One-factor sensitivities —'!L10*('01 — Editable assumptions — USD'!B11-'03 — Digital unit economics and'!B15-'03 — Digital unit economics and'!B16-'03 — Digital unit economics and'!B17)-'05 — One-factor sensitivities —'!O10-'04 — Scenario comparison — Base'!B17-'04 — Scenario comparison — Base'!B18-'01 — Editable assumptions — USD'!B36</f>
        <v>2005.6200000000003</v>
      </c>
      <c r="T10" s="9">
        <f>'05 — One-factor sensitivities —'!S10-'04 — Scenario comparison — Base'!B19</f>
        <v>1302.8100000000002</v>
      </c>
      <c r="U10" s="9">
        <f>'05 — One-factor sensitivities —'!S10+'01 — Editable assumptions — USD'!B36-'01 — Editable assumptions — USD'!B37</f>
        <v>-994.3799999999997</v>
      </c>
    </row>
    <row r="11">
      <c r="A11" t="inlineStr" s="7">
        <is>
          <t xml:space="preserve">Funding allowance 10 percent</t>
        </is>
      </c>
      <c r="B11" s="12">
        <f>1</f>
        <v>1</v>
      </c>
      <c r="C11" s="12">
        <f>1</f>
        <v>1</v>
      </c>
      <c r="D11" s="12">
        <f>1</f>
        <v>1</v>
      </c>
      <c r="E11" s="12">
        <f>1</f>
        <v>1</v>
      </c>
      <c r="F11" s="12">
        <f>1</f>
        <v>1</v>
      </c>
      <c r="G11" s="12">
        <f>1</f>
        <v>1</v>
      </c>
      <c r="H11" s="11">
        <f>0.1</f>
        <v>0.1</v>
      </c>
      <c r="I11" s="12">
        <f>IF('01 — Editable assumptions — USD'!B26="","",'01 — Editable assumptions — USD'!B26)</f>
        <v>0</v>
      </c>
      <c r="J11" s="11">
        <f>IF('01 — Editable assumptions — USD'!B31="","",'01 — Editable assumptions — USD'!B31)</f>
        <v>0</v>
      </c>
      <c r="K11" s="12">
        <f>'04 — Scenario comparison — Base'!B5*'05 — One-factor sensitivities —'!B11</f>
        <v>10000</v>
      </c>
      <c r="L11" s="12">
        <f>'05 — One-factor sensitivities —'!K11*'04 — Scenario comparison — Base'!B7*'05 — One-factor sensitivities —'!C11</f>
        <v>200</v>
      </c>
      <c r="M11" s="12">
        <f>'05 — One-factor sensitivities —'!K11*'04 — Scenario comparison — Base'!B6*'05 — One-factor sensitivities —'!D11</f>
        <v>1000</v>
      </c>
      <c r="N11" s="9">
        <f>'01 — Editable assumptions — USD'!B24*'01 — Editable assumptions — USD'!B27/1000000+'01 — Editable assumptions — USD'!B25*'05 — One-factor sensitivities —'!G11*'01 — Editable assumptions — USD'!B28/1000000+'05 — One-factor sensitivities —'!I11*'01 — Editable assumptions — USD'!B29/1000000</f>
        <v>0.12075</v>
      </c>
      <c r="O11" s="9">
        <f>'05 — One-factor sensitivities —'!M11*('03 — Digital unit economics and'!B5+'04 — Scenario comparison — Base'!B9*'05 — One-factor sensitivities —'!F11*'03 — Digital unit economics and'!B6+'04 — Scenario comparison — Base'!B8*'05 — One-factor sensitivities —'!E11*'05 — One-factor sensitivities —'!N11)*(1+'05 — One-factor sensitivities —'!H11)*(1+'05 — One-factor sensitivities —'!J11)</f>
        <v>320.65000000000003</v>
      </c>
      <c r="P11" s="9">
        <f>IFERROR('05 — One-factor sensitivities —'!O11/'05 — One-factor sensitivities —'!L11,"")</f>
        <v>1.60325</v>
      </c>
      <c r="Q11" s="9">
        <f>'05 — One-factor sensitivities —'!L11*'01 — Editable assumptions — USD'!B11</f>
        <v>1800</v>
      </c>
      <c r="R11" s="9">
        <f>'01 — Editable assumptions — USD'!B11-'03 — Digital unit economics and'!B15-'03 — Digital unit economics and'!B16-'03 — Digital unit economics and'!B17-'05 — One-factor sensitivities —'!P11</f>
        <v>6.455750000000001</v>
      </c>
      <c r="S11" s="9">
        <f>'05 — One-factor sensitivities —'!L11*('01 — Editable assumptions — USD'!B11-'03 — Digital unit economics and'!B15-'03 — Digital unit economics and'!B16-'03 — Digital unit economics and'!B17)-'05 — One-factor sensitivities —'!O11-'04 — Scenario comparison — Base'!B17-'04 — Scenario comparison — Base'!B18-'01 — Editable assumptions — USD'!B36</f>
        <v>691.1500000000001</v>
      </c>
      <c r="T11" s="9">
        <f>'05 — One-factor sensitivities —'!S11-'04 — Scenario comparison — Base'!B19</f>
        <v>-11.660000000000082</v>
      </c>
      <c r="U11" s="9">
        <f>'05 — One-factor sensitivities —'!S11+'01 — Editable assumptions — USD'!B36-'01 — Editable assumptions — USD'!B37</f>
        <v>-2308.85</v>
      </c>
    </row>
    <row r="12">
      <c r="A12" t="inlineStr" s="7">
        <is>
          <t xml:space="preserve">Funding allowance zero</t>
        </is>
      </c>
      <c r="B12" s="12">
        <f>1</f>
        <v>1</v>
      </c>
      <c r="C12" s="12">
        <f>1</f>
        <v>1</v>
      </c>
      <c r="D12" s="12">
        <f>1</f>
        <v>1</v>
      </c>
      <c r="E12" s="12">
        <f>1</f>
        <v>1</v>
      </c>
      <c r="F12" s="12">
        <f>1</f>
        <v>1</v>
      </c>
      <c r="G12" s="12">
        <f>1</f>
        <v>1</v>
      </c>
      <c r="H12" s="11">
        <f>0</f>
        <v>0</v>
      </c>
      <c r="I12" s="12">
        <f>IF('01 — Editable assumptions — USD'!B26="","",'01 — Editable assumptions — USD'!B26)</f>
        <v>0</v>
      </c>
      <c r="J12" s="11">
        <f>IF('01 — Editable assumptions — USD'!B31="","",'01 — Editable assumptions — USD'!B31)</f>
        <v>0</v>
      </c>
      <c r="K12" s="12">
        <f>'04 — Scenario comparison — Base'!B5*'05 — One-factor sensitivities —'!B12</f>
        <v>10000</v>
      </c>
      <c r="L12" s="12">
        <f>'05 — One-factor sensitivities —'!K12*'04 — Scenario comparison — Base'!B7*'05 — One-factor sensitivities —'!C12</f>
        <v>200</v>
      </c>
      <c r="M12" s="12">
        <f>'05 — One-factor sensitivities —'!K12*'04 — Scenario comparison — Base'!B6*'05 — One-factor sensitivities —'!D12</f>
        <v>1000</v>
      </c>
      <c r="N12" s="9">
        <f>'01 — Editable assumptions — USD'!B24*'01 — Editable assumptions — USD'!B27/1000000+'01 — Editable assumptions — USD'!B25*'05 — One-factor sensitivities —'!G12*'01 — Editable assumptions — USD'!B28/1000000+'05 — One-factor sensitivities —'!I12*'01 — Editable assumptions — USD'!B29/1000000</f>
        <v>0.12075</v>
      </c>
      <c r="O12" s="9">
        <f>'05 — One-factor sensitivities —'!M12*('03 — Digital unit economics and'!B5+'04 — Scenario comparison — Base'!B9*'05 — One-factor sensitivities —'!F12*'03 — Digital unit economics and'!B6+'04 — Scenario comparison — Base'!B8*'05 — One-factor sensitivities —'!E12*'05 — One-factor sensitivities —'!N12)*(1+'05 — One-factor sensitivities —'!H12)*(1+'05 — One-factor sensitivities —'!J12)</f>
        <v>291.5</v>
      </c>
      <c r="P12" s="9">
        <f>IFERROR('05 — One-factor sensitivities —'!O12/'05 — One-factor sensitivities —'!L12,"")</f>
        <v>1.4575</v>
      </c>
      <c r="Q12" s="9">
        <f>'05 — One-factor sensitivities —'!L12*'01 — Editable assumptions — USD'!B11</f>
        <v>1800</v>
      </c>
      <c r="R12" s="9">
        <f>'01 — Editable assumptions — USD'!B11-'03 — Digital unit economics and'!B15-'03 — Digital unit economics and'!B16-'03 — Digital unit economics and'!B17-'05 — One-factor sensitivities —'!P12</f>
        <v>6.6015000000000015</v>
      </c>
      <c r="S12" s="9">
        <f>'05 — One-factor sensitivities —'!L12*('01 — Editable assumptions — USD'!B11-'03 — Digital unit economics and'!B15-'03 — Digital unit economics and'!B16-'03 — Digital unit economics and'!B17)-'05 — One-factor sensitivities —'!O12-'04 — Scenario comparison — Base'!B17-'04 — Scenario comparison — Base'!B18-'01 — Editable assumptions — USD'!B36</f>
        <v>720.3000000000002</v>
      </c>
      <c r="T12" s="9">
        <f>'05 — One-factor sensitivities —'!S12-'04 — Scenario comparison — Base'!B19</f>
        <v>17.49000000000001</v>
      </c>
      <c r="U12" s="9">
        <f>'05 — One-factor sensitivities —'!S12+'01 — Editable assumptions — USD'!B36-'01 — Editable assumptions — USD'!B37</f>
        <v>-2279.7</v>
      </c>
    </row>
    <row r="13">
      <c r="A13" t="inlineStr" s="7">
        <is>
          <t xml:space="preserve">Half traffic</t>
        </is>
      </c>
      <c r="B13" s="12">
        <f>0.5</f>
        <v>0.5</v>
      </c>
      <c r="C13" s="12">
        <f>1</f>
        <v>1</v>
      </c>
      <c r="D13" s="12">
        <f>1</f>
        <v>1</v>
      </c>
      <c r="E13" s="12">
        <f>1</f>
        <v>1</v>
      </c>
      <c r="F13" s="12">
        <f>1</f>
        <v>1</v>
      </c>
      <c r="G13" s="12">
        <f>1</f>
        <v>1</v>
      </c>
      <c r="H13" s="11">
        <f>IF('01 — Editable assumptions — USD'!B30="","",'01 — Editable assumptions — USD'!B30)</f>
        <v>0.06</v>
      </c>
      <c r="I13" s="12">
        <f>IF('01 — Editable assumptions — USD'!B26="","",'01 — Editable assumptions — USD'!B26)</f>
        <v>0</v>
      </c>
      <c r="J13" s="11">
        <f>IF('01 — Editable assumptions — USD'!B31="","",'01 — Editable assumptions — USD'!B31)</f>
        <v>0</v>
      </c>
      <c r="K13" s="12">
        <f>'04 — Scenario comparison — Base'!B5*'05 — One-factor sensitivities —'!B13</f>
        <v>5000</v>
      </c>
      <c r="L13" s="12">
        <f>'05 — One-factor sensitivities —'!K13*'04 — Scenario comparison — Base'!B7*'05 — One-factor sensitivities —'!C13</f>
        <v>100</v>
      </c>
      <c r="M13" s="12">
        <f>'05 — One-factor sensitivities —'!K13*'04 — Scenario comparison — Base'!B6*'05 — One-factor sensitivities —'!D13</f>
        <v>500</v>
      </c>
      <c r="N13" s="9">
        <f>'01 — Editable assumptions — USD'!B24*'01 — Editable assumptions — USD'!B27/1000000+'01 — Editable assumptions — USD'!B25*'05 — One-factor sensitivities —'!G13*'01 — Editable assumptions — USD'!B28/1000000+'05 — One-factor sensitivities —'!I13*'01 — Editable assumptions — USD'!B29/1000000</f>
        <v>0.12075</v>
      </c>
      <c r="O13" s="9">
        <f>'05 — One-factor sensitivities —'!M13*('03 — Digital unit economics and'!B5+'04 — Scenario comparison — Base'!B9*'05 — One-factor sensitivities —'!F13*'03 — Digital unit economics and'!B6+'04 — Scenario comparison — Base'!B8*'05 — One-factor sensitivities —'!E13*'05 — One-factor sensitivities —'!N13)*(1+'05 — One-factor sensitivities —'!H13)*(1+'05 — One-factor sensitivities —'!J13)</f>
        <v>154.495</v>
      </c>
      <c r="P13" s="9">
        <f>IFERROR('05 — One-factor sensitivities —'!O13/'05 — One-factor sensitivities —'!L13,"")</f>
        <v>1.54495</v>
      </c>
      <c r="Q13" s="9">
        <f>'05 — One-factor sensitivities —'!L13*'01 — Editable assumptions — USD'!B11</f>
        <v>900</v>
      </c>
      <c r="R13" s="9">
        <f>'01 — Editable assumptions — USD'!B11-'03 — Digital unit economics and'!B15-'03 — Digital unit economics and'!B16-'03 — Digital unit economics and'!B17-'05 — One-factor sensitivities —'!P13</f>
        <v>6.514050000000001</v>
      </c>
      <c r="S13" s="9">
        <f>'05 — One-factor sensitivities —'!L13*('01 — Editable assumptions — USD'!B11-'03 — Digital unit economics and'!B15-'03 — Digital unit economics and'!B16-'03 — Digital unit economics and'!B17)-'05 — One-factor sensitivities —'!O13-'04 — Scenario comparison — Base'!B17-'04 — Scenario comparison — Base'!B18-'01 — Editable assumptions — USD'!B36</f>
        <v>51.405000000000086</v>
      </c>
      <c r="T13" s="9">
        <f>'05 — One-factor sensitivities —'!S13-'04 — Scenario comparison — Base'!B19</f>
        <v>-651.4050000000001</v>
      </c>
      <c r="U13" s="9">
        <f>'05 — One-factor sensitivities —'!S13+'01 — Editable assumptions — USD'!B36-'01 — Editable assumptions — USD'!B37</f>
        <v>-2948.595</v>
      </c>
    </row>
    <row r="14">
      <c r="A14" t="inlineStr" s="7">
        <is>
          <t xml:space="preserve">Image output x0.5 — Base 2000 tokens</t>
        </is>
      </c>
      <c r="B14" s="12">
        <f>1</f>
        <v>1</v>
      </c>
      <c r="C14" s="12">
        <f>1</f>
        <v>1</v>
      </c>
      <c r="D14" s="12">
        <f>1</f>
        <v>1</v>
      </c>
      <c r="E14" s="12">
        <f>1</f>
        <v>1</v>
      </c>
      <c r="F14" s="12">
        <f>1</f>
        <v>1</v>
      </c>
      <c r="G14" s="12">
        <f>0.5</f>
        <v>0.5</v>
      </c>
      <c r="H14" s="11">
        <f>IF('01 — Editable assumptions — USD'!B30="","",'01 — Editable assumptions — USD'!B30)</f>
        <v>0.06</v>
      </c>
      <c r="I14" s="12">
        <f>IF('01 — Editable assumptions — USD'!B26="","",'01 — Editable assumptions — USD'!B26)</f>
        <v>0</v>
      </c>
      <c r="J14" s="11">
        <f>IF('01 — Editable assumptions — USD'!B31="","",'01 — Editable assumptions — USD'!B31)</f>
        <v>0</v>
      </c>
      <c r="K14" s="12">
        <f>'04 — Scenario comparison — Base'!B5*'05 — One-factor sensitivities —'!B14</f>
        <v>10000</v>
      </c>
      <c r="L14" s="12">
        <f>'05 — One-factor sensitivities —'!K14*'04 — Scenario comparison — Base'!B7*'05 — One-factor sensitivities —'!C14</f>
        <v>200</v>
      </c>
      <c r="M14" s="12">
        <f>'05 — One-factor sensitivities —'!K14*'04 — Scenario comparison — Base'!B6*'05 — One-factor sensitivities —'!D14</f>
        <v>1000</v>
      </c>
      <c r="N14" s="9">
        <f>'01 — Editable assumptions — USD'!B24*'01 — Editable assumptions — USD'!B27/1000000+'01 — Editable assumptions — USD'!B25*'05 — One-factor sensitivities —'!G14*'01 — Editable assumptions — USD'!B28/1000000+'05 — One-factor sensitivities —'!I14*'01 — Editable assumptions — USD'!B29/1000000</f>
        <v>0.06075</v>
      </c>
      <c r="O14" s="9">
        <f>'05 — One-factor sensitivities —'!M14*('03 — Digital unit economics and'!B5+'04 — Scenario comparison — Base'!B9*'05 — One-factor sensitivities —'!F14*'03 — Digital unit economics and'!B6+'04 — Scenario comparison — Base'!B8*'05 — One-factor sensitivities —'!E14*'05 — One-factor sensitivities —'!N14)*(1+'05 — One-factor sensitivities —'!H14)*(1+'05 — One-factor sensitivities —'!J14)</f>
        <v>181.79000000000002</v>
      </c>
      <c r="P14" s="9">
        <f>IFERROR('05 — One-factor sensitivities —'!O14/'05 — One-factor sensitivities —'!L14,"")</f>
        <v>0.9089500000000001</v>
      </c>
      <c r="Q14" s="9">
        <f>'05 — One-factor sensitivities —'!L14*'01 — Editable assumptions — USD'!B11</f>
        <v>1800</v>
      </c>
      <c r="R14" s="9">
        <f>'01 — Editable assumptions — USD'!B11-'03 — Digital unit economics and'!B15-'03 — Digital unit economics and'!B16-'03 — Digital unit economics and'!B17-'05 — One-factor sensitivities —'!P14</f>
        <v>7.150050000000001</v>
      </c>
      <c r="S14" s="9">
        <f>'05 — One-factor sensitivities —'!L14*('01 — Editable assumptions — USD'!B11-'03 — Digital unit economics and'!B15-'03 — Digital unit economics and'!B16-'03 — Digital unit economics and'!B17)-'05 — One-factor sensitivities —'!O14-'04 — Scenario comparison — Base'!B17-'04 — Scenario comparison — Base'!B18-'01 — Editable assumptions — USD'!B36</f>
        <v>830.0100000000002</v>
      </c>
      <c r="T14" s="9">
        <f>'05 — One-factor sensitivities —'!S14-'04 — Scenario comparison — Base'!B19</f>
        <v>127.20000000000005</v>
      </c>
      <c r="U14" s="9">
        <f>'05 — One-factor sensitivities —'!S14+'01 — Editable assumptions — USD'!B36-'01 — Editable assumptions — USD'!B37</f>
        <v>-2169.99</v>
      </c>
    </row>
    <row r="15">
      <c r="A15" t="inlineStr" s="7">
        <is>
          <t xml:space="preserve">Image output x2 — Base 8000 tokens</t>
        </is>
      </c>
      <c r="B15" s="12">
        <f>1</f>
        <v>1</v>
      </c>
      <c r="C15" s="12">
        <f>1</f>
        <v>1</v>
      </c>
      <c r="D15" s="12">
        <f>1</f>
        <v>1</v>
      </c>
      <c r="E15" s="12">
        <f>1</f>
        <v>1</v>
      </c>
      <c r="F15" s="12">
        <f>1</f>
        <v>1</v>
      </c>
      <c r="G15" s="12">
        <f>2</f>
        <v>2</v>
      </c>
      <c r="H15" s="11">
        <f>IF('01 — Editable assumptions — USD'!B30="","",'01 — Editable assumptions — USD'!B30)</f>
        <v>0.06</v>
      </c>
      <c r="I15" s="12">
        <f>IF('01 — Editable assumptions — USD'!B26="","",'01 — Editable assumptions — USD'!B26)</f>
        <v>0</v>
      </c>
      <c r="J15" s="11">
        <f>IF('01 — Editable assumptions — USD'!B31="","",'01 — Editable assumptions — USD'!B31)</f>
        <v>0</v>
      </c>
      <c r="K15" s="12">
        <f>'04 — Scenario comparison — Base'!B5*'05 — One-factor sensitivities —'!B15</f>
        <v>10000</v>
      </c>
      <c r="L15" s="12">
        <f>'05 — One-factor sensitivities —'!K15*'04 — Scenario comparison — Base'!B7*'05 — One-factor sensitivities —'!C15</f>
        <v>200</v>
      </c>
      <c r="M15" s="12">
        <f>'05 — One-factor sensitivities —'!K15*'04 — Scenario comparison — Base'!B6*'05 — One-factor sensitivities —'!D15</f>
        <v>1000</v>
      </c>
      <c r="N15" s="9">
        <f>'01 — Editable assumptions — USD'!B24*'01 — Editable assumptions — USD'!B27/1000000+'01 — Editable assumptions — USD'!B25*'05 — One-factor sensitivities —'!G15*'01 — Editable assumptions — USD'!B28/1000000+'05 — One-factor sensitivities —'!I15*'01 — Editable assumptions — USD'!B29/1000000</f>
        <v>0.24075</v>
      </c>
      <c r="O15" s="9">
        <f>'05 — One-factor sensitivities —'!M15*('03 — Digital unit economics and'!B5+'04 — Scenario comparison — Base'!B9*'05 — One-factor sensitivities —'!F15*'03 — Digital unit economics and'!B6+'04 — Scenario comparison — Base'!B8*'05 — One-factor sensitivities —'!E15*'05 — One-factor sensitivities —'!N15)*(1+'05 — One-factor sensitivities —'!H15)*(1+'05 — One-factor sensitivities —'!J15)</f>
        <v>563.39</v>
      </c>
      <c r="P15" s="9">
        <f>IFERROR('05 — One-factor sensitivities —'!O15/'05 — One-factor sensitivities —'!L15,"")</f>
        <v>2.81695</v>
      </c>
      <c r="Q15" s="9">
        <f>'05 — One-factor sensitivities —'!L15*'01 — Editable assumptions — USD'!B11</f>
        <v>1800</v>
      </c>
      <c r="R15" s="9">
        <f>'01 — Editable assumptions — USD'!B11-'03 — Digital unit economics and'!B15-'03 — Digital unit economics and'!B16-'03 — Digital unit economics and'!B17-'05 — One-factor sensitivities —'!P15</f>
        <v>5.242050000000001</v>
      </c>
      <c r="S15" s="9">
        <f>'05 — One-factor sensitivities —'!L15*('01 — Editable assumptions — USD'!B11-'03 — Digital unit economics and'!B15-'03 — Digital unit economics and'!B16-'03 — Digital unit economics and'!B17)-'05 — One-factor sensitivities —'!O15-'04 — Scenario comparison — Base'!B17-'04 — Scenario comparison — Base'!B18-'01 — Editable assumptions — USD'!B36</f>
        <v>448.4100000000003</v>
      </c>
      <c r="T15" s="9">
        <f>'05 — One-factor sensitivities —'!S15-'04 — Scenario comparison — Base'!B19</f>
        <v>-254.39999999999986</v>
      </c>
      <c r="U15" s="9">
        <f>'05 — One-factor sensitivities —'!S15+'01 — Editable assumptions — USD'!B36-'01 — Editable assumptions — USD'!B37</f>
        <v>-2551.5899999999997</v>
      </c>
    </row>
    <row r="16">
      <c r="A16" t="inlineStr" s="7">
        <is>
          <t xml:space="preserve">Images x2 — Base four per start</t>
        </is>
      </c>
      <c r="B16" s="12">
        <f>1</f>
        <v>1</v>
      </c>
      <c r="C16" s="12">
        <f>1</f>
        <v>1</v>
      </c>
      <c r="D16" s="12">
        <f>1</f>
        <v>1</v>
      </c>
      <c r="E16" s="12">
        <f>2</f>
        <v>2</v>
      </c>
      <c r="F16" s="12">
        <f>1</f>
        <v>1</v>
      </c>
      <c r="G16" s="12">
        <f>1</f>
        <v>1</v>
      </c>
      <c r="H16" s="11">
        <f>IF('01 — Editable assumptions — USD'!B30="","",'01 — Editable assumptions — USD'!B30)</f>
        <v>0.06</v>
      </c>
      <c r="I16" s="12">
        <f>IF('01 — Editable assumptions — USD'!B26="","",'01 — Editable assumptions — USD'!B26)</f>
        <v>0</v>
      </c>
      <c r="J16" s="11">
        <f>IF('01 — Editable assumptions — USD'!B31="","",'01 — Editable assumptions — USD'!B31)</f>
        <v>0</v>
      </c>
      <c r="K16" s="12">
        <f>'04 — Scenario comparison — Base'!B5*'05 — One-factor sensitivities —'!B16</f>
        <v>10000</v>
      </c>
      <c r="L16" s="12">
        <f>'05 — One-factor sensitivities —'!K16*'04 — Scenario comparison — Base'!B7*'05 — One-factor sensitivities —'!C16</f>
        <v>200</v>
      </c>
      <c r="M16" s="12">
        <f>'05 — One-factor sensitivities —'!K16*'04 — Scenario comparison — Base'!B6*'05 — One-factor sensitivities —'!D16</f>
        <v>1000</v>
      </c>
      <c r="N16" s="9">
        <f>'01 — Editable assumptions — USD'!B24*'01 — Editable assumptions — USD'!B27/1000000+'01 — Editable assumptions — USD'!B25*'05 — One-factor sensitivities —'!G16*'01 — Editable assumptions — USD'!B28/1000000+'05 — One-factor sensitivities —'!I16*'01 — Editable assumptions — USD'!B29/1000000</f>
        <v>0.12075</v>
      </c>
      <c r="O16" s="9">
        <f>'05 — One-factor sensitivities —'!M16*('03 — Digital unit economics and'!B5+'04 — Scenario comparison — Base'!B9*'05 — One-factor sensitivities —'!F16*'03 — Digital unit economics and'!B6+'04 — Scenario comparison — Base'!B8*'05 — One-factor sensitivities —'!E16*'05 — One-factor sensitivities —'!N16)*(1+'05 — One-factor sensitivities —'!H16)*(1+'05 — One-factor sensitivities —'!J16)</f>
        <v>564.98</v>
      </c>
      <c r="P16" s="9">
        <f>IFERROR('05 — One-factor sensitivities —'!O16/'05 — One-factor sensitivities —'!L16,"")</f>
        <v>2.8249</v>
      </c>
      <c r="Q16" s="9">
        <f>'05 — One-factor sensitivities —'!L16*'01 — Editable assumptions — USD'!B11</f>
        <v>1800</v>
      </c>
      <c r="R16" s="9">
        <f>'01 — Editable assumptions — USD'!B11-'03 — Digital unit economics and'!B15-'03 — Digital unit economics and'!B16-'03 — Digital unit economics and'!B17-'05 — One-factor sensitivities —'!P16</f>
        <v>5.2341000000000015</v>
      </c>
      <c r="S16" s="9">
        <f>'05 — One-factor sensitivities —'!L16*('01 — Editable assumptions — USD'!B11-'03 — Digital unit economics and'!B15-'03 — Digital unit economics and'!B16-'03 — Digital unit economics and'!B17)-'05 — One-factor sensitivities —'!O16-'04 — Scenario comparison — Base'!B17-'04 — Scenario comparison — Base'!B18-'01 — Editable assumptions — USD'!B36</f>
        <v>446.82000000000016</v>
      </c>
      <c r="T16" s="9">
        <f>'05 — One-factor sensitivities —'!S16-'04 — Scenario comparison — Base'!B19</f>
        <v>-255.99</v>
      </c>
      <c r="U16" s="9">
        <f>'05 — One-factor sensitivities —'!S16+'01 — Editable assumptions — USD'!B36-'01 — Editable assumptions — USD'!B37</f>
        <v>-2553.18</v>
      </c>
    </row>
    <row r="17">
      <c r="A17" t="inlineStr" s="7">
        <is>
          <t xml:space="preserve">Published funding fee 5.5 percent</t>
        </is>
      </c>
      <c r="B17" s="12">
        <f>1</f>
        <v>1</v>
      </c>
      <c r="C17" s="12">
        <f>1</f>
        <v>1</v>
      </c>
      <c r="D17" s="12">
        <f>1</f>
        <v>1</v>
      </c>
      <c r="E17" s="12">
        <f>1</f>
        <v>1</v>
      </c>
      <c r="F17" s="12">
        <f>1</f>
        <v>1</v>
      </c>
      <c r="G17" s="12">
        <f>1</f>
        <v>1</v>
      </c>
      <c r="H17" s="11">
        <f>0.055</f>
        <v>0.055</v>
      </c>
      <c r="I17" s="12">
        <f>IF('01 — Editable assumptions — USD'!B26="","",'01 — Editable assumptions — USD'!B26)</f>
        <v>0</v>
      </c>
      <c r="J17" s="11">
        <f>IF('01 — Editable assumptions — USD'!B31="","",'01 — Editable assumptions — USD'!B31)</f>
        <v>0</v>
      </c>
      <c r="K17" s="12">
        <f>'04 — Scenario comparison — Base'!B5*'05 — One-factor sensitivities —'!B17</f>
        <v>10000</v>
      </c>
      <c r="L17" s="12">
        <f>'05 — One-factor sensitivities —'!K17*'04 — Scenario comparison — Base'!B7*'05 — One-factor sensitivities —'!C17</f>
        <v>200</v>
      </c>
      <c r="M17" s="12">
        <f>'05 — One-factor sensitivities —'!K17*'04 — Scenario comparison — Base'!B6*'05 — One-factor sensitivities —'!D17</f>
        <v>1000</v>
      </c>
      <c r="N17" s="9">
        <f>'01 — Editable assumptions — USD'!B24*'01 — Editable assumptions — USD'!B27/1000000+'01 — Editable assumptions — USD'!B25*'05 — One-factor sensitivities —'!G17*'01 — Editable assumptions — USD'!B28/1000000+'05 — One-factor sensitivities —'!I17*'01 — Editable assumptions — USD'!B29/1000000</f>
        <v>0.12075</v>
      </c>
      <c r="O17" s="9">
        <f>'05 — One-factor sensitivities —'!M17*('03 — Digital unit economics and'!B5+'04 — Scenario comparison — Base'!B9*'05 — One-factor sensitivities —'!F17*'03 — Digital unit economics and'!B6+'04 — Scenario comparison — Base'!B8*'05 — One-factor sensitivities —'!E17*'05 — One-factor sensitivities —'!N17)*(1+'05 — One-factor sensitivities —'!H17)*(1+'05 — One-factor sensitivities —'!J17)</f>
        <v>307.53249999999997</v>
      </c>
      <c r="P17" s="9">
        <f>IFERROR('05 — One-factor sensitivities —'!O17/'05 — One-factor sensitivities —'!L17,"")</f>
        <v>1.5376625</v>
      </c>
      <c r="Q17" s="9">
        <f>'05 — One-factor sensitivities —'!L17*'01 — Editable assumptions — USD'!B11</f>
        <v>1800</v>
      </c>
      <c r="R17" s="9">
        <f>'01 — Editable assumptions — USD'!B11-'03 — Digital unit economics and'!B15-'03 — Digital unit economics and'!B16-'03 — Digital unit economics and'!B17-'05 — One-factor sensitivities —'!P17</f>
        <v>6.521337500000001</v>
      </c>
      <c r="S17" s="9">
        <f>'05 — One-factor sensitivities —'!L17*('01 — Editable assumptions — USD'!B11-'03 — Digital unit economics and'!B15-'03 — Digital unit economics and'!B16-'03 — Digital unit economics and'!B17)-'05 — One-factor sensitivities —'!O17-'04 — Scenario comparison — Base'!B17-'04 — Scenario comparison — Base'!B18-'01 — Editable assumptions — USD'!B36</f>
        <v>704.2675000000002</v>
      </c>
      <c r="T17" s="9">
        <f>'05 — One-factor sensitivities —'!S17-'04 — Scenario comparison — Base'!B19</f>
        <v>1.4574999999999818</v>
      </c>
      <c r="U17" s="9">
        <f>'05 — One-factor sensitivities —'!S17+'01 — Editable assumptions — USD'!B36-'01 — Editable assumptions — USD'!B37</f>
        <v>-2295.7325</v>
      </c>
    </row>
    <row r="18">
      <c r="A18" t="inlineStr" s="7">
        <is>
          <t xml:space="preserve">Start rate x2 — Base 20 percent</t>
        </is>
      </c>
      <c r="B18" s="12">
        <f>1</f>
        <v>1</v>
      </c>
      <c r="C18" s="12">
        <f>1</f>
        <v>1</v>
      </c>
      <c r="D18" s="12">
        <f>2</f>
        <v>2</v>
      </c>
      <c r="E18" s="12">
        <f>1</f>
        <v>1</v>
      </c>
      <c r="F18" s="12">
        <f>1</f>
        <v>1</v>
      </c>
      <c r="G18" s="12">
        <f>1</f>
        <v>1</v>
      </c>
      <c r="H18" s="11">
        <f>IF('01 — Editable assumptions — USD'!B30="","",'01 — Editable assumptions — USD'!B30)</f>
        <v>0.06</v>
      </c>
      <c r="I18" s="12">
        <f>IF('01 — Editable assumptions — USD'!B26="","",'01 — Editable assumptions — USD'!B26)</f>
        <v>0</v>
      </c>
      <c r="J18" s="11">
        <f>IF('01 — Editable assumptions — USD'!B31="","",'01 — Editable assumptions — USD'!B31)</f>
        <v>0</v>
      </c>
      <c r="K18" s="12">
        <f>'04 — Scenario comparison — Base'!B5*'05 — One-factor sensitivities —'!B18</f>
        <v>10000</v>
      </c>
      <c r="L18" s="12">
        <f>'05 — One-factor sensitivities —'!K18*'04 — Scenario comparison — Base'!B7*'05 — One-factor sensitivities —'!C18</f>
        <v>200</v>
      </c>
      <c r="M18" s="12">
        <f>'05 — One-factor sensitivities —'!K18*'04 — Scenario comparison — Base'!B6*'05 — One-factor sensitivities —'!D18</f>
        <v>2000</v>
      </c>
      <c r="N18" s="9">
        <f>'01 — Editable assumptions — USD'!B24*'01 — Editable assumptions — USD'!B27/1000000+'01 — Editable assumptions — USD'!B25*'05 — One-factor sensitivities —'!G18*'01 — Editable assumptions — USD'!B28/1000000+'05 — One-factor sensitivities —'!I18*'01 — Editable assumptions — USD'!B29/1000000</f>
        <v>0.12075</v>
      </c>
      <c r="O18" s="9">
        <f>'05 — One-factor sensitivities —'!M18*('03 — Digital unit economics and'!B5+'04 — Scenario comparison — Base'!B9*'05 — One-factor sensitivities —'!F18*'03 — Digital unit economics and'!B6+'04 — Scenario comparison — Base'!B8*'05 — One-factor sensitivities —'!E18*'05 — One-factor sensitivities —'!N18)*(1+'05 — One-factor sensitivities —'!H18)*(1+'05 — One-factor sensitivities —'!J18)</f>
        <v>617.98</v>
      </c>
      <c r="P18" s="9">
        <f>IFERROR('05 — One-factor sensitivities —'!O18/'05 — One-factor sensitivities —'!L18,"")</f>
        <v>3.0899</v>
      </c>
      <c r="Q18" s="9">
        <f>'05 — One-factor sensitivities —'!L18*'01 — Editable assumptions — USD'!B11</f>
        <v>1800</v>
      </c>
      <c r="R18" s="9">
        <f>'01 — Editable assumptions — USD'!B11-'03 — Digital unit economics and'!B15-'03 — Digital unit economics and'!B16-'03 — Digital unit economics and'!B17-'05 — One-factor sensitivities —'!P18</f>
        <v>4.969100000000001</v>
      </c>
      <c r="S18" s="9">
        <f>'05 — One-factor sensitivities —'!L18*('01 — Editable assumptions — USD'!B11-'03 — Digital unit economics and'!B15-'03 — Digital unit economics and'!B16-'03 — Digital unit economics and'!B17)-'05 — One-factor sensitivities —'!O18-'04 — Scenario comparison — Base'!B17-'04 — Scenario comparison — Base'!B18-'01 — Editable assumptions — USD'!B36</f>
        <v>393.82000000000016</v>
      </c>
      <c r="T18" s="9">
        <f>'05 — One-factor sensitivities —'!S18-'04 — Scenario comparison — Base'!B19</f>
        <v>-308.99</v>
      </c>
      <c r="U18" s="9">
        <f>'05 — One-factor sensitivities —'!S18+'01 — Editable assumptions — USD'!B36-'01 — Editable assumptions — USD'!B37</f>
        <v>-2606.18</v>
      </c>
    </row>
    <row r="19">
      <c r="A19" t="inlineStr" s="5">
        <is>
          <t xml:space="preserve">True edit 4000 input image tokens</t>
        </is>
      </c>
      <c r="B19" s="10">
        <f>1</f>
        <v>1</v>
      </c>
      <c r="C19" s="10">
        <f>1</f>
        <v>1</v>
      </c>
      <c r="D19" s="10">
        <f>1</f>
        <v>1</v>
      </c>
      <c r="E19" s="10">
        <f>1</f>
        <v>1</v>
      </c>
      <c r="F19" s="10">
        <f>1</f>
        <v>1</v>
      </c>
      <c r="G19" s="10">
        <f>1</f>
        <v>1</v>
      </c>
      <c r="H19" s="18">
        <f>IF('01 — Editable assumptions — USD'!B30="","",'01 — Editable assumptions — USD'!B30)</f>
        <v>0.06</v>
      </c>
      <c r="I19" s="10">
        <f>4000</f>
        <v>4000</v>
      </c>
      <c r="J19" s="18">
        <f>IF('01 — Editable assumptions — USD'!B31="","",'01 — Editable assumptions — USD'!B31)</f>
        <v>0</v>
      </c>
      <c r="K19" s="10">
        <f>'04 — Scenario comparison — Base'!B5*'05 — One-factor sensitivities —'!B19</f>
        <v>10000</v>
      </c>
      <c r="L19" s="10">
        <f>'05 — One-factor sensitivities —'!K19*'04 — Scenario comparison — Base'!B7*'05 — One-factor sensitivities —'!C19</f>
        <v>200</v>
      </c>
      <c r="M19" s="10">
        <f>'05 — One-factor sensitivities —'!K19*'04 — Scenario comparison — Base'!B6*'05 — One-factor sensitivities —'!D19</f>
        <v>1000</v>
      </c>
      <c r="N19" s="15">
        <f>'01 — Editable assumptions — USD'!B24*'01 — Editable assumptions — USD'!B27/1000000+'01 — Editable assumptions — USD'!B25*'05 — One-factor sensitivities —'!G19*'01 — Editable assumptions — USD'!B28/1000000+'05 — One-factor sensitivities —'!I19*'01 — Editable assumptions — USD'!B29/1000000</f>
        <v>0.15275</v>
      </c>
      <c r="O19" s="15">
        <f>'05 — One-factor sensitivities —'!M19*('03 — Digital unit economics and'!B5+'04 — Scenario comparison — Base'!B9*'05 — One-factor sensitivities —'!F19*'03 — Digital unit economics and'!B6+'04 — Scenario comparison — Base'!B8*'05 — One-factor sensitivities —'!E19*'05 — One-factor sensitivities —'!N19)*(1+'05 — One-factor sensitivities —'!H19)*(1+'05 — One-factor sensitivities —'!J19)</f>
        <v>376.8300000000001</v>
      </c>
      <c r="P19" s="15">
        <f>IFERROR('05 — One-factor sensitivities —'!O19/'05 — One-factor sensitivities —'!L19,"")</f>
        <v>1.8841500000000004</v>
      </c>
      <c r="Q19" s="15">
        <f>'05 — One-factor sensitivities —'!L19*'01 — Editable assumptions — USD'!B11</f>
        <v>1800</v>
      </c>
      <c r="R19" s="15">
        <f>'01 — Editable assumptions — USD'!B11-'03 — Digital unit economics and'!B15-'03 — Digital unit economics and'!B16-'03 — Digital unit economics and'!B17-'05 — One-factor sensitivities —'!P19</f>
        <v>6.174850000000001</v>
      </c>
      <c r="S19" s="15">
        <f>'05 — One-factor sensitivities —'!L19*('01 — Editable assumptions — USD'!B11-'03 — Digital unit economics and'!B15-'03 — Digital unit economics and'!B16-'03 — Digital unit economics and'!B17)-'05 — One-factor sensitivities —'!O19-'04 — Scenario comparison — Base'!B17-'04 — Scenario comparison — Base'!B18-'01 — Editable assumptions — USD'!B36</f>
        <v>634.97</v>
      </c>
      <c r="T19" s="15">
        <f>'05 — One-factor sensitivities —'!S19-'04 — Scenario comparison — Base'!B19</f>
        <v>-67.84000000000015</v>
      </c>
      <c r="U19" s="15">
        <f>'05 — One-factor sensitivities —'!S19+'01 — Editable assumptions — USD'!B36-'01 — Editable assumptions — USD'!B37</f>
        <v>-2365.0299999999997</v>
      </c>
    </row>
  </sheetData>
  <mergeCells count="1">
    <mergeCell ref="A1:U1"/>
  </mergeCells>
</worksheet>
</file>

<file path=xl/worksheets/sheet6.xml><?xml version="1.0" encoding="utf-8"?>
<worksheet xmlns="http://schemas.openxmlformats.org/spreadsheetml/2006/main">
  <dimension ref="A1:P15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07 — Cash projection — hypothetical dates and balances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19">
        <is>
          <t xml:space="preserve">2026-10</t>
        </is>
      </c>
      <c r="C4" t="inlineStr" s="4">
        <is>
          <t xml:space="preserve">2026-11</t>
        </is>
      </c>
      <c r="D4" t="inlineStr" s="4">
        <is>
          <t xml:space="preserve">2026-12</t>
        </is>
      </c>
      <c r="E4" t="inlineStr" s="19">
        <is>
          <t xml:space="preserve">2027-01</t>
        </is>
      </c>
      <c r="F4" t="inlineStr" s="4">
        <is>
          <t xml:space="preserve">2027-02</t>
        </is>
      </c>
      <c r="G4" t="inlineStr" s="4">
        <is>
          <t xml:space="preserve">2027-03</t>
        </is>
      </c>
      <c r="H4" t="inlineStr" s="19">
        <is>
          <t xml:space="preserve">2027-04</t>
        </is>
      </c>
      <c r="I4" t="inlineStr" s="4">
        <is>
          <t xml:space="preserve">2027-05</t>
        </is>
      </c>
      <c r="J4" t="inlineStr" s="4">
        <is>
          <t xml:space="preserve">2027-06</t>
        </is>
      </c>
      <c r="K4" t="inlineStr" s="19">
        <is>
          <t xml:space="preserve">2027-07</t>
        </is>
      </c>
      <c r="L4" t="inlineStr" s="4">
        <is>
          <t xml:space="preserve">2027-08</t>
        </is>
      </c>
      <c r="M4" t="inlineStr" s="4">
        <is>
          <t xml:space="preserve">2027-09</t>
        </is>
      </c>
      <c r="N4" t="inlineStr" s="19">
        <is>
          <t xml:space="preserve">2027-10</t>
        </is>
      </c>
      <c r="O4" t="inlineStr" s="4">
        <is>
          <t xml:space="preserve">2027-11</t>
        </is>
      </c>
      <c r="P4" t="inlineStr" s="4">
        <is>
          <t xml:space="preserve">2027-12</t>
        </is>
      </c>
    </row>
    <row r="5">
      <c r="A5" t="inlineStr" s="5">
        <is>
          <t xml:space="preserve">TS Projected digital orders</t>
        </is>
      </c>
      <c r="B5" s="10">
        <f>IF(IF(IF(ISERROR(DATE(2026,10,1)&gt;=DATE(YEAR('01 — Editable assumptions — USD'!B60),MONTH('01 — Editable assumptions — USD'!B60),1)),DATE(2026,10,1)&gt;=DATE(YEAR('01 — Editable assumptions — USD'!B60),MONTH('01 — Editable assumptions — USD'!B60),1),IF(DATE(YEAR('01 — Editable assumptions — USD'!B60),MONTH('01 — Editable assumptions — USD'!B60),1)="","",DATE(2026,10,1)&gt;=DATE(YEAR('01 — Editable assumptions — USD'!B60),MONTH('01 — Editable assumptions — USD'!B60),1)))="",FALSE,IF(ISERROR(DATE(2026,10,1)&gt;=DATE(YEAR('01 — Editable assumptions — USD'!B60),MONTH('01 — Editable assumptions — USD'!B60),1)),DATE(2026,10,1)&gt;=DATE(YEAR('01 — Editable assumptions — USD'!B60),MONTH('01 — Editable assumptions — USD'!B60),1),IF(DATE(YEAR('01 — Editable assumptions — USD'!B60),MONTH('01 — Editable assumptions — USD'!B60),1)="","",DATE(2026,10,1)&gt;=DATE(YEAR('01 — Editable assumptions — USD'!B60),MONTH('01 — Editable assumptions — USD'!B60),1)))),IF('04 — Scenario comparison — Base'!B10="","",'04 — Scenario comparison — Base'!B10),0)</f>
        <v>0</v>
      </c>
      <c r="C5" s="10">
        <f>IF(IF(IF(ISERROR(DATE(2026,11,1)&gt;=DATE(YEAR('01 — Editable assumptions — USD'!B60),MONTH('01 — Editable assumptions — USD'!B60),1)),DATE(2026,11,1)&gt;=DATE(YEAR('01 — Editable assumptions — USD'!B60),MONTH('01 — Editable assumptions — USD'!B60),1),IF(DATE(YEAR('01 — Editable assumptions — USD'!B60),MONTH('01 — Editable assumptions — USD'!B60),1)="","",DATE(2026,11,1)&gt;=DATE(YEAR('01 — Editable assumptions — USD'!B60),MONTH('01 — Editable assumptions — USD'!B60),1)))="",FALSE,IF(ISERROR(DATE(2026,11,1)&gt;=DATE(YEAR('01 — Editable assumptions — USD'!B60),MONTH('01 — Editable assumptions — USD'!B60),1)),DATE(2026,11,1)&gt;=DATE(YEAR('01 — Editable assumptions — USD'!B60),MONTH('01 — Editable assumptions — USD'!B60),1),IF(DATE(YEAR('01 — Editable assumptions — USD'!B60),MONTH('01 — Editable assumptions — USD'!B60),1)="","",DATE(2026,11,1)&gt;=DATE(YEAR('01 — Editable assumptions — USD'!B60),MONTH('01 — Editable assumptions — USD'!B60),1)))),IF('04 — Scenario comparison — Base'!B10="","",'04 — Scenario comparison — Base'!B10),0)</f>
        <v>0</v>
      </c>
      <c r="D5" s="10">
        <f>IF(IF(IF(ISERROR(DATE(2026,12,1)&gt;=DATE(YEAR('01 — Editable assumptions — USD'!B60),MONTH('01 — Editable assumptions — USD'!B60),1)),DATE(2026,12,1)&gt;=DATE(YEAR('01 — Editable assumptions — USD'!B60),MONTH('01 — Editable assumptions — USD'!B60),1),IF(DATE(YEAR('01 — Editable assumptions — USD'!B60),MONTH('01 — Editable assumptions — USD'!B60),1)="","",DATE(2026,12,1)&gt;=DATE(YEAR('01 — Editable assumptions — USD'!B60),MONTH('01 — Editable assumptions — USD'!B60),1)))="",FALSE,IF(ISERROR(DATE(2026,12,1)&gt;=DATE(YEAR('01 — Editable assumptions — USD'!B60),MONTH('01 — Editable assumptions — USD'!B60),1)),DATE(2026,12,1)&gt;=DATE(YEAR('01 — Editable assumptions — USD'!B60),MONTH('01 — Editable assumptions — USD'!B60),1),IF(DATE(YEAR('01 — Editable assumptions — USD'!B60),MONTH('01 — Editable assumptions — USD'!B60),1)="","",DATE(2026,12,1)&gt;=DATE(YEAR('01 — Editable assumptions — USD'!B60),MONTH('01 — Editable assumptions — USD'!B60),1)))),IF('04 — Scenario comparison — Base'!B10="","",'04 — Scenario comparison — Base'!B10),0)</f>
        <v>0</v>
      </c>
      <c r="E5" s="10">
        <f>IF(IF(IF(ISERROR(DATE(2027,1,1)&gt;=DATE(YEAR('01 — Editable assumptions — USD'!B60),MONTH('01 — Editable assumptions — USD'!B60),1)),DATE(2027,1,1)&gt;=DATE(YEAR('01 — Editable assumptions — USD'!B60),MONTH('01 — Editable assumptions — USD'!B60),1),IF(DATE(YEAR('01 — Editable assumptions — USD'!B60),MONTH('01 — Editable assumptions — USD'!B60),1)="","",DATE(2027,1,1)&gt;=DATE(YEAR('01 — Editable assumptions — USD'!B60),MONTH('01 — Editable assumptions — USD'!B60),1)))="",FALSE,IF(ISERROR(DATE(2027,1,1)&gt;=DATE(YEAR('01 — Editable assumptions — USD'!B60),MONTH('01 — Editable assumptions — USD'!B60),1)),DATE(2027,1,1)&gt;=DATE(YEAR('01 — Editable assumptions — USD'!B60),MONTH('01 — Editable assumptions — USD'!B60),1),IF(DATE(YEAR('01 — Editable assumptions — USD'!B60),MONTH('01 — Editable assumptions — USD'!B60),1)="","",DATE(2027,1,1)&gt;=DATE(YEAR('01 — Editable assumptions — USD'!B60),MONTH('01 — Editable assumptions — USD'!B60),1)))),IF('04 — Scenario comparison — Base'!B10="","",'04 — Scenario comparison — Base'!B10),0)</f>
        <v>200</v>
      </c>
      <c r="F5" s="10">
        <f>IF(IF(IF(ISERROR(DATE(2027,2,1)&gt;=DATE(YEAR('01 — Editable assumptions — USD'!B60),MONTH('01 — Editable assumptions — USD'!B60),1)),DATE(2027,2,1)&gt;=DATE(YEAR('01 — Editable assumptions — USD'!B60),MONTH('01 — Editable assumptions — USD'!B60),1),IF(DATE(YEAR('01 — Editable assumptions — USD'!B60),MONTH('01 — Editable assumptions — USD'!B60),1)="","",DATE(2027,2,1)&gt;=DATE(YEAR('01 — Editable assumptions — USD'!B60),MONTH('01 — Editable assumptions — USD'!B60),1)))="",FALSE,IF(ISERROR(DATE(2027,2,1)&gt;=DATE(YEAR('01 — Editable assumptions — USD'!B60),MONTH('01 — Editable assumptions — USD'!B60),1)),DATE(2027,2,1)&gt;=DATE(YEAR('01 — Editable assumptions — USD'!B60),MONTH('01 — Editable assumptions — USD'!B60),1),IF(DATE(YEAR('01 — Editable assumptions — USD'!B60),MONTH('01 — Editable assumptions — USD'!B60),1)="","",DATE(2027,2,1)&gt;=DATE(YEAR('01 — Editable assumptions — USD'!B60),MONTH('01 — Editable assumptions — USD'!B60),1)))),IF('04 — Scenario comparison — Base'!B10="","",'04 — Scenario comparison — Base'!B10),0)</f>
        <v>200</v>
      </c>
      <c r="G5" s="10">
        <f>IF(IF(IF(ISERROR(DATE(2027,3,1)&gt;=DATE(YEAR('01 — Editable assumptions — USD'!B60),MONTH('01 — Editable assumptions — USD'!B60),1)),DATE(2027,3,1)&gt;=DATE(YEAR('01 — Editable assumptions — USD'!B60),MONTH('01 — Editable assumptions — USD'!B60),1),IF(DATE(YEAR('01 — Editable assumptions — USD'!B60),MONTH('01 — Editable assumptions — USD'!B60),1)="","",DATE(2027,3,1)&gt;=DATE(YEAR('01 — Editable assumptions — USD'!B60),MONTH('01 — Editable assumptions — USD'!B60),1)))="",FALSE,IF(ISERROR(DATE(2027,3,1)&gt;=DATE(YEAR('01 — Editable assumptions — USD'!B60),MONTH('01 — Editable assumptions — USD'!B60),1)),DATE(2027,3,1)&gt;=DATE(YEAR('01 — Editable assumptions — USD'!B60),MONTH('01 — Editable assumptions — USD'!B60),1),IF(DATE(YEAR('01 — Editable assumptions — USD'!B60),MONTH('01 — Editable assumptions — USD'!B60),1)="","",DATE(2027,3,1)&gt;=DATE(YEAR('01 — Editable assumptions — USD'!B60),MONTH('01 — Editable assumptions — USD'!B60),1)))),IF('04 — Scenario comparison — Base'!B10="","",'04 — Scenario comparison — Base'!B10),0)</f>
        <v>200</v>
      </c>
      <c r="H5" s="10">
        <f>IF(IF(IF(ISERROR(DATE(2027,4,1)&gt;=DATE(YEAR('01 — Editable assumptions — USD'!B60),MONTH('01 — Editable assumptions — USD'!B60),1)),DATE(2027,4,1)&gt;=DATE(YEAR('01 — Editable assumptions — USD'!B60),MONTH('01 — Editable assumptions — USD'!B60),1),IF(DATE(YEAR('01 — Editable assumptions — USD'!B60),MONTH('01 — Editable assumptions — USD'!B60),1)="","",DATE(2027,4,1)&gt;=DATE(YEAR('01 — Editable assumptions — USD'!B60),MONTH('01 — Editable assumptions — USD'!B60),1)))="",FALSE,IF(ISERROR(DATE(2027,4,1)&gt;=DATE(YEAR('01 — Editable assumptions — USD'!B60),MONTH('01 — Editable assumptions — USD'!B60),1)),DATE(2027,4,1)&gt;=DATE(YEAR('01 — Editable assumptions — USD'!B60),MONTH('01 — Editable assumptions — USD'!B60),1),IF(DATE(YEAR('01 — Editable assumptions — USD'!B60),MONTH('01 — Editable assumptions — USD'!B60),1)="","",DATE(2027,4,1)&gt;=DATE(YEAR('01 — Editable assumptions — USD'!B60),MONTH('01 — Editable assumptions — USD'!B60),1)))),IF('04 — Scenario comparison — Base'!B10="","",'04 — Scenario comparison — Base'!B10),0)</f>
        <v>200</v>
      </c>
      <c r="I5" s="10">
        <f>IF(IF(IF(ISERROR(DATE(2027,5,1)&gt;=DATE(YEAR('01 — Editable assumptions — USD'!B60),MONTH('01 — Editable assumptions — USD'!B60),1)),DATE(2027,5,1)&gt;=DATE(YEAR('01 — Editable assumptions — USD'!B60),MONTH('01 — Editable assumptions — USD'!B60),1),IF(DATE(YEAR('01 — Editable assumptions — USD'!B60),MONTH('01 — Editable assumptions — USD'!B60),1)="","",DATE(2027,5,1)&gt;=DATE(YEAR('01 — Editable assumptions — USD'!B60),MONTH('01 — Editable assumptions — USD'!B60),1)))="",FALSE,IF(ISERROR(DATE(2027,5,1)&gt;=DATE(YEAR('01 — Editable assumptions — USD'!B60),MONTH('01 — Editable assumptions — USD'!B60),1)),DATE(2027,5,1)&gt;=DATE(YEAR('01 — Editable assumptions — USD'!B60),MONTH('01 — Editable assumptions — USD'!B60),1),IF(DATE(YEAR('01 — Editable assumptions — USD'!B60),MONTH('01 — Editable assumptions — USD'!B60),1)="","",DATE(2027,5,1)&gt;=DATE(YEAR('01 — Editable assumptions — USD'!B60),MONTH('01 — Editable assumptions — USD'!B60),1)))),IF('04 — Scenario comparison — Base'!B10="","",'04 — Scenario comparison — Base'!B10),0)</f>
        <v>200</v>
      </c>
      <c r="J5" s="10">
        <f>IF(IF(IF(ISERROR(DATE(2027,6,1)&gt;=DATE(YEAR('01 — Editable assumptions — USD'!B60),MONTH('01 — Editable assumptions — USD'!B60),1)),DATE(2027,6,1)&gt;=DATE(YEAR('01 — Editable assumptions — USD'!B60),MONTH('01 — Editable assumptions — USD'!B60),1),IF(DATE(YEAR('01 — Editable assumptions — USD'!B60),MONTH('01 — Editable assumptions — USD'!B60),1)="","",DATE(2027,6,1)&gt;=DATE(YEAR('01 — Editable assumptions — USD'!B60),MONTH('01 — Editable assumptions — USD'!B60),1)))="",FALSE,IF(ISERROR(DATE(2027,6,1)&gt;=DATE(YEAR('01 — Editable assumptions — USD'!B60),MONTH('01 — Editable assumptions — USD'!B60),1)),DATE(2027,6,1)&gt;=DATE(YEAR('01 — Editable assumptions — USD'!B60),MONTH('01 — Editable assumptions — USD'!B60),1),IF(DATE(YEAR('01 — Editable assumptions — USD'!B60),MONTH('01 — Editable assumptions — USD'!B60),1)="","",DATE(2027,6,1)&gt;=DATE(YEAR('01 — Editable assumptions — USD'!B60),MONTH('01 — Editable assumptions — USD'!B60),1)))),IF('04 — Scenario comparison — Base'!B10="","",'04 — Scenario comparison — Base'!B10),0)</f>
        <v>200</v>
      </c>
      <c r="K5" s="10">
        <f>IF(IF(IF(ISERROR(DATE(2027,7,1)&gt;=DATE(YEAR('01 — Editable assumptions — USD'!B60),MONTH('01 — Editable assumptions — USD'!B60),1)),DATE(2027,7,1)&gt;=DATE(YEAR('01 — Editable assumptions — USD'!B60),MONTH('01 — Editable assumptions — USD'!B60),1),IF(DATE(YEAR('01 — Editable assumptions — USD'!B60),MONTH('01 — Editable assumptions — USD'!B60),1)="","",DATE(2027,7,1)&gt;=DATE(YEAR('01 — Editable assumptions — USD'!B60),MONTH('01 — Editable assumptions — USD'!B60),1)))="",FALSE,IF(ISERROR(DATE(2027,7,1)&gt;=DATE(YEAR('01 — Editable assumptions — USD'!B60),MONTH('01 — Editable assumptions — USD'!B60),1)),DATE(2027,7,1)&gt;=DATE(YEAR('01 — Editable assumptions — USD'!B60),MONTH('01 — Editable assumptions — USD'!B60),1),IF(DATE(YEAR('01 — Editable assumptions — USD'!B60),MONTH('01 — Editable assumptions — USD'!B60),1)="","",DATE(2027,7,1)&gt;=DATE(YEAR('01 — Editable assumptions — USD'!B60),MONTH('01 — Editable assumptions — USD'!B60),1)))),IF('04 — Scenario comparison — Base'!B10="","",'04 — Scenario comparison — Base'!B10),0)</f>
        <v>200</v>
      </c>
      <c r="L5" s="10">
        <f>IF(IF(IF(ISERROR(DATE(2027,8,1)&gt;=DATE(YEAR('01 — Editable assumptions — USD'!B60),MONTH('01 — Editable assumptions — USD'!B60),1)),DATE(2027,8,1)&gt;=DATE(YEAR('01 — Editable assumptions — USD'!B60),MONTH('01 — Editable assumptions — USD'!B60),1),IF(DATE(YEAR('01 — Editable assumptions — USD'!B60),MONTH('01 — Editable assumptions — USD'!B60),1)="","",DATE(2027,8,1)&gt;=DATE(YEAR('01 — Editable assumptions — USD'!B60),MONTH('01 — Editable assumptions — USD'!B60),1)))="",FALSE,IF(ISERROR(DATE(2027,8,1)&gt;=DATE(YEAR('01 — Editable assumptions — USD'!B60),MONTH('01 — Editable assumptions — USD'!B60),1)),DATE(2027,8,1)&gt;=DATE(YEAR('01 — Editable assumptions — USD'!B60),MONTH('01 — Editable assumptions — USD'!B60),1),IF(DATE(YEAR('01 — Editable assumptions — USD'!B60),MONTH('01 — Editable assumptions — USD'!B60),1)="","",DATE(2027,8,1)&gt;=DATE(YEAR('01 — Editable assumptions — USD'!B60),MONTH('01 — Editable assumptions — USD'!B60),1)))),IF('04 — Scenario comparison — Base'!B10="","",'04 — Scenario comparison — Base'!B10),0)</f>
        <v>200</v>
      </c>
      <c r="M5" s="10">
        <f>IF(IF(IF(ISERROR(DATE(2027,9,1)&gt;=DATE(YEAR('01 — Editable assumptions — USD'!B60),MONTH('01 — Editable assumptions — USD'!B60),1)),DATE(2027,9,1)&gt;=DATE(YEAR('01 — Editable assumptions — USD'!B60),MONTH('01 — Editable assumptions — USD'!B60),1),IF(DATE(YEAR('01 — Editable assumptions — USD'!B60),MONTH('01 — Editable assumptions — USD'!B60),1)="","",DATE(2027,9,1)&gt;=DATE(YEAR('01 — Editable assumptions — USD'!B60),MONTH('01 — Editable assumptions — USD'!B60),1)))="",FALSE,IF(ISERROR(DATE(2027,9,1)&gt;=DATE(YEAR('01 — Editable assumptions — USD'!B60),MONTH('01 — Editable assumptions — USD'!B60),1)),DATE(2027,9,1)&gt;=DATE(YEAR('01 — Editable assumptions — USD'!B60),MONTH('01 — Editable assumptions — USD'!B60),1),IF(DATE(YEAR('01 — Editable assumptions — USD'!B60),MONTH('01 — Editable assumptions — USD'!B60),1)="","",DATE(2027,9,1)&gt;=DATE(YEAR('01 — Editable assumptions — USD'!B60),MONTH('01 — Editable assumptions — USD'!B60),1)))),IF('04 — Scenario comparison — Base'!B10="","",'04 — Scenario comparison — Base'!B10),0)</f>
        <v>200</v>
      </c>
      <c r="N5" s="10">
        <f>IF(IF(IF(ISERROR(DATE(2027,10,1)&gt;=DATE(YEAR('01 — Editable assumptions — USD'!B60),MONTH('01 — Editable assumptions — USD'!B60),1)),DATE(2027,10,1)&gt;=DATE(YEAR('01 — Editable assumptions — USD'!B60),MONTH('01 — Editable assumptions — USD'!B60),1),IF(DATE(YEAR('01 — Editable assumptions — USD'!B60),MONTH('01 — Editable assumptions — USD'!B60),1)="","",DATE(2027,10,1)&gt;=DATE(YEAR('01 — Editable assumptions — USD'!B60),MONTH('01 — Editable assumptions — USD'!B60),1)))="",FALSE,IF(ISERROR(DATE(2027,10,1)&gt;=DATE(YEAR('01 — Editable assumptions — USD'!B60),MONTH('01 — Editable assumptions — USD'!B60),1)),DATE(2027,10,1)&gt;=DATE(YEAR('01 — Editable assumptions — USD'!B60),MONTH('01 — Editable assumptions — USD'!B60),1),IF(DATE(YEAR('01 — Editable assumptions — USD'!B60),MONTH('01 — Editable assumptions — USD'!B60),1)="","",DATE(2027,10,1)&gt;=DATE(YEAR('01 — Editable assumptions — USD'!B60),MONTH('01 — Editable assumptions — USD'!B60),1)))),IF('04 — Scenario comparison — Base'!B10="","",'04 — Scenario comparison — Base'!B10),0)</f>
        <v>200</v>
      </c>
      <c r="O5" s="10">
        <f>IF(IF(IF(ISERROR(DATE(2027,11,1)&gt;=DATE(YEAR('01 — Editable assumptions — USD'!B60),MONTH('01 — Editable assumptions — USD'!B60),1)),DATE(2027,11,1)&gt;=DATE(YEAR('01 — Editable assumptions — USD'!B60),MONTH('01 — Editable assumptions — USD'!B60),1),IF(DATE(YEAR('01 — Editable assumptions — USD'!B60),MONTH('01 — Editable assumptions — USD'!B60),1)="","",DATE(2027,11,1)&gt;=DATE(YEAR('01 — Editable assumptions — USD'!B60),MONTH('01 — Editable assumptions — USD'!B60),1)))="",FALSE,IF(ISERROR(DATE(2027,11,1)&gt;=DATE(YEAR('01 — Editable assumptions — USD'!B60),MONTH('01 — Editable assumptions — USD'!B60),1)),DATE(2027,11,1)&gt;=DATE(YEAR('01 — Editable assumptions — USD'!B60),MONTH('01 — Editable assumptions — USD'!B60),1),IF(DATE(YEAR('01 — Editable assumptions — USD'!B60),MONTH('01 — Editable assumptions — USD'!B60),1)="","",DATE(2027,11,1)&gt;=DATE(YEAR('01 — Editable assumptions — USD'!B60),MONTH('01 — Editable assumptions — USD'!B60),1)))),IF('04 — Scenario comparison — Base'!B10="","",'04 — Scenario comparison — Base'!B10),0)</f>
        <v>200</v>
      </c>
      <c r="P5" s="10">
        <f>IF(IF(IF(ISERROR(DATE(2027,12,1)&gt;=DATE(YEAR('01 — Editable assumptions — USD'!B60),MONTH('01 — Editable assumptions — USD'!B60),1)),DATE(2027,12,1)&gt;=DATE(YEAR('01 — Editable assumptions — USD'!B60),MONTH('01 — Editable assumptions — USD'!B60),1),IF(DATE(YEAR('01 — Editable assumptions — USD'!B60),MONTH('01 — Editable assumptions — USD'!B60),1)="","",DATE(2027,12,1)&gt;=DATE(YEAR('01 — Editable assumptions — USD'!B60),MONTH('01 — Editable assumptions — USD'!B60),1)))="",FALSE,IF(ISERROR(DATE(2027,12,1)&gt;=DATE(YEAR('01 — Editable assumptions — USD'!B60),MONTH('01 — Editable assumptions — USD'!B60),1)),DATE(2027,12,1)&gt;=DATE(YEAR('01 — Editable assumptions — USD'!B60),MONTH('01 — Editable assumptions — USD'!B60),1),IF(DATE(YEAR('01 — Editable assumptions — USD'!B60),MONTH('01 — Editable assumptions — USD'!B60),1)="","",DATE(2027,12,1)&gt;=DATE(YEAR('01 — Editable assumptions — USD'!B60),MONTH('01 — Editable assumptions — USD'!B60),1)))),IF('04 — Scenario comparison — Base'!B10="","",'04 — Scenario comparison — Base'!B10),0)</f>
        <v>200</v>
      </c>
    </row>
    <row r="6">
      <c r="A6" t="inlineStr" s="7">
        <is>
          <t xml:space="preserve">TS Projected digital revenue</t>
        </is>
      </c>
      <c r="B6" s="9">
        <f>'07 — Cash projection — hypothet'!B5*'01 — Editable assumptions — USD'!B11</f>
        <v>0</v>
      </c>
      <c r="C6" s="9">
        <f>'07 — Cash projection — hypothet'!C5*'01 — Editable assumptions — USD'!B11</f>
        <v>0</v>
      </c>
      <c r="D6" s="9">
        <f>'07 — Cash projection — hypothet'!D5*'01 — Editable assumptions — USD'!B11</f>
        <v>0</v>
      </c>
      <c r="E6" s="9">
        <f>'07 — Cash projection — hypothet'!E5*'01 — Editable assumptions — USD'!B11</f>
        <v>1800</v>
      </c>
      <c r="F6" s="9">
        <f>'07 — Cash projection — hypothet'!F5*'01 — Editable assumptions — USD'!B11</f>
        <v>1800</v>
      </c>
      <c r="G6" s="9">
        <f>'07 — Cash projection — hypothet'!G5*'01 — Editable assumptions — USD'!B11</f>
        <v>1800</v>
      </c>
      <c r="H6" s="9">
        <f>'07 — Cash projection — hypothet'!H5*'01 — Editable assumptions — USD'!B11</f>
        <v>1800</v>
      </c>
      <c r="I6" s="9">
        <f>'07 — Cash projection — hypothet'!I5*'01 — Editable assumptions — USD'!B11</f>
        <v>1800</v>
      </c>
      <c r="J6" s="9">
        <f>'07 — Cash projection — hypothet'!J5*'01 — Editable assumptions — USD'!B11</f>
        <v>1800</v>
      </c>
      <c r="K6" s="9">
        <f>'07 — Cash projection — hypothet'!K5*'01 — Editable assumptions — USD'!B11</f>
        <v>1800</v>
      </c>
      <c r="L6" s="9">
        <f>'07 — Cash projection — hypothet'!L5*'01 — Editable assumptions — USD'!B11</f>
        <v>1800</v>
      </c>
      <c r="M6" s="9">
        <f>'07 — Cash projection — hypothet'!M5*'01 — Editable assumptions — USD'!B11</f>
        <v>1800</v>
      </c>
      <c r="N6" s="9">
        <f>'07 — Cash projection — hypothet'!N5*'01 — Editable assumptions — USD'!B11</f>
        <v>1800</v>
      </c>
      <c r="O6" s="9">
        <f>'07 — Cash projection — hypothet'!O5*'01 — Editable assumptions — USD'!B11</f>
        <v>1800</v>
      </c>
      <c r="P6" s="9">
        <f>'07 — Cash projection — hypothet'!P5*'01 — Editable assumptions — USD'!B11</f>
        <v>1800</v>
      </c>
    </row>
    <row r="7">
      <c r="A7" t="inlineStr" s="7">
        <is>
          <t xml:space="preserve">TS Projected variable costs</t>
        </is>
      </c>
      <c r="B7" s="9">
        <f>IF(IF(IF(ISERROR(DATE(2026,10,1)&gt;=DATE(YEAR('01 — Editable assumptions — USD'!B60),MONTH('01 — Editable assumptions — USD'!B60),1)),DATE(2026,10,1)&gt;=DATE(YEAR('01 — Editable assumptions — USD'!B60),MONTH('01 — Editable assumptions — USD'!B60),1),IF(DATE(YEAR('01 — Editable assumptions — USD'!B60),MONTH('01 — Editable assumptions — USD'!B60),1)="","",DATE(2026,10,1)&gt;=DATE(YEAR('01 — Editable assumptions — USD'!B60),MONTH('01 — Editable assumptions — USD'!B60),1)))="",FALSE,IF(ISERROR(DATE(2026,10,1)&gt;=DATE(YEAR('01 — Editable assumptions — USD'!B60),MONTH('01 — Editable assumptions — USD'!B60),1)),DATE(2026,10,1)&gt;=DATE(YEAR('01 — Editable assumptions — USD'!B60),MONTH('01 — Editable assumptions — USD'!B60),1),IF(DATE(YEAR('01 — Editable assumptions — USD'!B60),MONTH('01 — Editable assumptions — USD'!B60),1)="","",DATE(2026,10,1)&gt;=DATE(YEAR('01 — Editable assumptions — USD'!B60),MONTH('01 — Editable assumptions — USD'!B60),1)))),IF('03 — Digital unit economics and'!B21="","",'03 — Digital unit economics and'!B21),0)</f>
        <v>0</v>
      </c>
      <c r="C7" s="9">
        <f>IF(IF(IF(ISERROR(DATE(2026,11,1)&gt;=DATE(YEAR('01 — Editable assumptions — USD'!B60),MONTH('01 — Editable assumptions — USD'!B60),1)),DATE(2026,11,1)&gt;=DATE(YEAR('01 — Editable assumptions — USD'!B60),MONTH('01 — Editable assumptions — USD'!B60),1),IF(DATE(YEAR('01 — Editable assumptions — USD'!B60),MONTH('01 — Editable assumptions — USD'!B60),1)="","",DATE(2026,11,1)&gt;=DATE(YEAR('01 — Editable assumptions — USD'!B60),MONTH('01 — Editable assumptions — USD'!B60),1)))="",FALSE,IF(ISERROR(DATE(2026,11,1)&gt;=DATE(YEAR('01 — Editable assumptions — USD'!B60),MONTH('01 — Editable assumptions — USD'!B60),1)),DATE(2026,11,1)&gt;=DATE(YEAR('01 — Editable assumptions — USD'!B60),MONTH('01 — Editable assumptions — USD'!B60),1),IF(DATE(YEAR('01 — Editable assumptions — USD'!B60),MONTH('01 — Editable assumptions — USD'!B60),1)="","",DATE(2026,11,1)&gt;=DATE(YEAR('01 — Editable assumptions — USD'!B60),MONTH('01 — Editable assumptions — USD'!B60),1)))),IF('03 — Digital unit economics and'!B21="","",'03 — Digital unit economics and'!B21),0)</f>
        <v>0</v>
      </c>
      <c r="D7" s="9">
        <f>IF(IF(IF(ISERROR(DATE(2026,12,1)&gt;=DATE(YEAR('01 — Editable assumptions — USD'!B60),MONTH('01 — Editable assumptions — USD'!B60),1)),DATE(2026,12,1)&gt;=DATE(YEAR('01 — Editable assumptions — USD'!B60),MONTH('01 — Editable assumptions — USD'!B60),1),IF(DATE(YEAR('01 — Editable assumptions — USD'!B60),MONTH('01 — Editable assumptions — USD'!B60),1)="","",DATE(2026,12,1)&gt;=DATE(YEAR('01 — Editable assumptions — USD'!B60),MONTH('01 — Editable assumptions — USD'!B60),1)))="",FALSE,IF(ISERROR(DATE(2026,12,1)&gt;=DATE(YEAR('01 — Editable assumptions — USD'!B60),MONTH('01 — Editable assumptions — USD'!B60),1)),DATE(2026,12,1)&gt;=DATE(YEAR('01 — Editable assumptions — USD'!B60),MONTH('01 — Editable assumptions — USD'!B60),1),IF(DATE(YEAR('01 — Editable assumptions — USD'!B60),MONTH('01 — Editable assumptions — USD'!B60),1)="","",DATE(2026,12,1)&gt;=DATE(YEAR('01 — Editable assumptions — USD'!B60),MONTH('01 — Editable assumptions — USD'!B60),1)))),IF('03 — Digital unit economics and'!B21="","",'03 — Digital unit economics and'!B21),0)</f>
        <v>0</v>
      </c>
      <c r="E7" s="9">
        <f>IF(IF(IF(ISERROR(DATE(2027,1,1)&gt;=DATE(YEAR('01 — Editable assumptions — USD'!B60),MONTH('01 — Editable assumptions — USD'!B60),1)),DATE(2027,1,1)&gt;=DATE(YEAR('01 — Editable assumptions — USD'!B60),MONTH('01 — Editable assumptions — USD'!B60),1),IF(DATE(YEAR('01 — Editable assumptions — USD'!B60),MONTH('01 — Editable assumptions — USD'!B60),1)="","",DATE(2027,1,1)&gt;=DATE(YEAR('01 — Editable assumptions — USD'!B60),MONTH('01 — Editable assumptions — USD'!B60),1)))="",FALSE,IF(ISERROR(DATE(2027,1,1)&gt;=DATE(YEAR('01 — Editable assumptions — USD'!B60),MONTH('01 — Editable assumptions — USD'!B60),1)),DATE(2027,1,1)&gt;=DATE(YEAR('01 — Editable assumptions — USD'!B60),MONTH('01 — Editable assumptions — USD'!B60),1),IF(DATE(YEAR('01 — Editable assumptions — USD'!B60),MONTH('01 — Editable assumptions — USD'!B60),1)="","",DATE(2027,1,1)&gt;=DATE(YEAR('01 — Editable assumptions — USD'!B60),MONTH('01 — Editable assumptions — USD'!B60),1)))),IF('03 — Digital unit economics and'!B21="","",'03 — Digital unit economics and'!B21),0)</f>
        <v>497.19</v>
      </c>
      <c r="F7" s="9">
        <f>IF(IF(IF(ISERROR(DATE(2027,2,1)&gt;=DATE(YEAR('01 — Editable assumptions — USD'!B60),MONTH('01 — Editable assumptions — USD'!B60),1)),DATE(2027,2,1)&gt;=DATE(YEAR('01 — Editable assumptions — USD'!B60),MONTH('01 — Editable assumptions — USD'!B60),1),IF(DATE(YEAR('01 — Editable assumptions — USD'!B60),MONTH('01 — Editable assumptions — USD'!B60),1)="","",DATE(2027,2,1)&gt;=DATE(YEAR('01 — Editable assumptions — USD'!B60),MONTH('01 — Editable assumptions — USD'!B60),1)))="",FALSE,IF(ISERROR(DATE(2027,2,1)&gt;=DATE(YEAR('01 — Editable assumptions — USD'!B60),MONTH('01 — Editable assumptions — USD'!B60),1)),DATE(2027,2,1)&gt;=DATE(YEAR('01 — Editable assumptions — USD'!B60),MONTH('01 — Editable assumptions — USD'!B60),1),IF(DATE(YEAR('01 — Editable assumptions — USD'!B60),MONTH('01 — Editable assumptions — USD'!B60),1)="","",DATE(2027,2,1)&gt;=DATE(YEAR('01 — Editable assumptions — USD'!B60),MONTH('01 — Editable assumptions — USD'!B60),1)))),IF('03 — Digital unit economics and'!B21="","",'03 — Digital unit economics and'!B21),0)</f>
        <v>497.19</v>
      </c>
      <c r="G7" s="9">
        <f>IF(IF(IF(ISERROR(DATE(2027,3,1)&gt;=DATE(YEAR('01 — Editable assumptions — USD'!B60),MONTH('01 — Editable assumptions — USD'!B60),1)),DATE(2027,3,1)&gt;=DATE(YEAR('01 — Editable assumptions — USD'!B60),MONTH('01 — Editable assumptions — USD'!B60),1),IF(DATE(YEAR('01 — Editable assumptions — USD'!B60),MONTH('01 — Editable assumptions — USD'!B60),1)="","",DATE(2027,3,1)&gt;=DATE(YEAR('01 — Editable assumptions — USD'!B60),MONTH('01 — Editable assumptions — USD'!B60),1)))="",FALSE,IF(ISERROR(DATE(2027,3,1)&gt;=DATE(YEAR('01 — Editable assumptions — USD'!B60),MONTH('01 — Editable assumptions — USD'!B60),1)),DATE(2027,3,1)&gt;=DATE(YEAR('01 — Editable assumptions — USD'!B60),MONTH('01 — Editable assumptions — USD'!B60),1),IF(DATE(YEAR('01 — Editable assumptions — USD'!B60),MONTH('01 — Editable assumptions — USD'!B60),1)="","",DATE(2027,3,1)&gt;=DATE(YEAR('01 — Editable assumptions — USD'!B60),MONTH('01 — Editable assumptions — USD'!B60),1)))),IF('03 — Digital unit economics and'!B21="","",'03 — Digital unit economics and'!B21),0)</f>
        <v>497.19</v>
      </c>
      <c r="H7" s="9">
        <f>IF(IF(IF(ISERROR(DATE(2027,4,1)&gt;=DATE(YEAR('01 — Editable assumptions — USD'!B60),MONTH('01 — Editable assumptions — USD'!B60),1)),DATE(2027,4,1)&gt;=DATE(YEAR('01 — Editable assumptions — USD'!B60),MONTH('01 — Editable assumptions — USD'!B60),1),IF(DATE(YEAR('01 — Editable assumptions — USD'!B60),MONTH('01 — Editable assumptions — USD'!B60),1)="","",DATE(2027,4,1)&gt;=DATE(YEAR('01 — Editable assumptions — USD'!B60),MONTH('01 — Editable assumptions — USD'!B60),1)))="",FALSE,IF(ISERROR(DATE(2027,4,1)&gt;=DATE(YEAR('01 — Editable assumptions — USD'!B60),MONTH('01 — Editable assumptions — USD'!B60),1)),DATE(2027,4,1)&gt;=DATE(YEAR('01 — Editable assumptions — USD'!B60),MONTH('01 — Editable assumptions — USD'!B60),1),IF(DATE(YEAR('01 — Editable assumptions — USD'!B60),MONTH('01 — Editable assumptions — USD'!B60),1)="","",DATE(2027,4,1)&gt;=DATE(YEAR('01 — Editable assumptions — USD'!B60),MONTH('01 — Editable assumptions — USD'!B60),1)))),IF('03 — Digital unit economics and'!B21="","",'03 — Digital unit economics and'!B21),0)</f>
        <v>497.19</v>
      </c>
      <c r="I7" s="9">
        <f>IF(IF(IF(ISERROR(DATE(2027,5,1)&gt;=DATE(YEAR('01 — Editable assumptions — USD'!B60),MONTH('01 — Editable assumptions — USD'!B60),1)),DATE(2027,5,1)&gt;=DATE(YEAR('01 — Editable assumptions — USD'!B60),MONTH('01 — Editable assumptions — USD'!B60),1),IF(DATE(YEAR('01 — Editable assumptions — USD'!B60),MONTH('01 — Editable assumptions — USD'!B60),1)="","",DATE(2027,5,1)&gt;=DATE(YEAR('01 — Editable assumptions — USD'!B60),MONTH('01 — Editable assumptions — USD'!B60),1)))="",FALSE,IF(ISERROR(DATE(2027,5,1)&gt;=DATE(YEAR('01 — Editable assumptions — USD'!B60),MONTH('01 — Editable assumptions — USD'!B60),1)),DATE(2027,5,1)&gt;=DATE(YEAR('01 — Editable assumptions — USD'!B60),MONTH('01 — Editable assumptions — USD'!B60),1),IF(DATE(YEAR('01 — Editable assumptions — USD'!B60),MONTH('01 — Editable assumptions — USD'!B60),1)="","",DATE(2027,5,1)&gt;=DATE(YEAR('01 — Editable assumptions — USD'!B60),MONTH('01 — Editable assumptions — USD'!B60),1)))),IF('03 — Digital unit economics and'!B21="","",'03 — Digital unit economics and'!B21),0)</f>
        <v>497.19</v>
      </c>
      <c r="J7" s="9">
        <f>IF(IF(IF(ISERROR(DATE(2027,6,1)&gt;=DATE(YEAR('01 — Editable assumptions — USD'!B60),MONTH('01 — Editable assumptions — USD'!B60),1)),DATE(2027,6,1)&gt;=DATE(YEAR('01 — Editable assumptions — USD'!B60),MONTH('01 — Editable assumptions — USD'!B60),1),IF(DATE(YEAR('01 — Editable assumptions — USD'!B60),MONTH('01 — Editable assumptions — USD'!B60),1)="","",DATE(2027,6,1)&gt;=DATE(YEAR('01 — Editable assumptions — USD'!B60),MONTH('01 — Editable assumptions — USD'!B60),1)))="",FALSE,IF(ISERROR(DATE(2027,6,1)&gt;=DATE(YEAR('01 — Editable assumptions — USD'!B60),MONTH('01 — Editable assumptions — USD'!B60),1)),DATE(2027,6,1)&gt;=DATE(YEAR('01 — Editable assumptions — USD'!B60),MONTH('01 — Editable assumptions — USD'!B60),1),IF(DATE(YEAR('01 — Editable assumptions — USD'!B60),MONTH('01 — Editable assumptions — USD'!B60),1)="","",DATE(2027,6,1)&gt;=DATE(YEAR('01 — Editable assumptions — USD'!B60),MONTH('01 — Editable assumptions — USD'!B60),1)))),IF('03 — Digital unit economics and'!B21="","",'03 — Digital unit economics and'!B21),0)</f>
        <v>497.19</v>
      </c>
      <c r="K7" s="9">
        <f>IF(IF(IF(ISERROR(DATE(2027,7,1)&gt;=DATE(YEAR('01 — Editable assumptions — USD'!B60),MONTH('01 — Editable assumptions — USD'!B60),1)),DATE(2027,7,1)&gt;=DATE(YEAR('01 — Editable assumptions — USD'!B60),MONTH('01 — Editable assumptions — USD'!B60),1),IF(DATE(YEAR('01 — Editable assumptions — USD'!B60),MONTH('01 — Editable assumptions — USD'!B60),1)="","",DATE(2027,7,1)&gt;=DATE(YEAR('01 — Editable assumptions — USD'!B60),MONTH('01 — Editable assumptions — USD'!B60),1)))="",FALSE,IF(ISERROR(DATE(2027,7,1)&gt;=DATE(YEAR('01 — Editable assumptions — USD'!B60),MONTH('01 — Editable assumptions — USD'!B60),1)),DATE(2027,7,1)&gt;=DATE(YEAR('01 — Editable assumptions — USD'!B60),MONTH('01 — Editable assumptions — USD'!B60),1),IF(DATE(YEAR('01 — Editable assumptions — USD'!B60),MONTH('01 — Editable assumptions — USD'!B60),1)="","",DATE(2027,7,1)&gt;=DATE(YEAR('01 — Editable assumptions — USD'!B60),MONTH('01 — Editable assumptions — USD'!B60),1)))),IF('03 — Digital unit economics and'!B21="","",'03 — Digital unit economics and'!B21),0)</f>
        <v>497.19</v>
      </c>
      <c r="L7" s="9">
        <f>IF(IF(IF(ISERROR(DATE(2027,8,1)&gt;=DATE(YEAR('01 — Editable assumptions — USD'!B60),MONTH('01 — Editable assumptions — USD'!B60),1)),DATE(2027,8,1)&gt;=DATE(YEAR('01 — Editable assumptions — USD'!B60),MONTH('01 — Editable assumptions — USD'!B60),1),IF(DATE(YEAR('01 — Editable assumptions — USD'!B60),MONTH('01 — Editable assumptions — USD'!B60),1)="","",DATE(2027,8,1)&gt;=DATE(YEAR('01 — Editable assumptions — USD'!B60),MONTH('01 — Editable assumptions — USD'!B60),1)))="",FALSE,IF(ISERROR(DATE(2027,8,1)&gt;=DATE(YEAR('01 — Editable assumptions — USD'!B60),MONTH('01 — Editable assumptions — USD'!B60),1)),DATE(2027,8,1)&gt;=DATE(YEAR('01 — Editable assumptions — USD'!B60),MONTH('01 — Editable assumptions — USD'!B60),1),IF(DATE(YEAR('01 — Editable assumptions — USD'!B60),MONTH('01 — Editable assumptions — USD'!B60),1)="","",DATE(2027,8,1)&gt;=DATE(YEAR('01 — Editable assumptions — USD'!B60),MONTH('01 — Editable assumptions — USD'!B60),1)))),IF('03 — Digital unit economics and'!B21="","",'03 — Digital unit economics and'!B21),0)</f>
        <v>497.19</v>
      </c>
      <c r="M7" s="9">
        <f>IF(IF(IF(ISERROR(DATE(2027,9,1)&gt;=DATE(YEAR('01 — Editable assumptions — USD'!B60),MONTH('01 — Editable assumptions — USD'!B60),1)),DATE(2027,9,1)&gt;=DATE(YEAR('01 — Editable assumptions — USD'!B60),MONTH('01 — Editable assumptions — USD'!B60),1),IF(DATE(YEAR('01 — Editable assumptions — USD'!B60),MONTH('01 — Editable assumptions — USD'!B60),1)="","",DATE(2027,9,1)&gt;=DATE(YEAR('01 — Editable assumptions — USD'!B60),MONTH('01 — Editable assumptions — USD'!B60),1)))="",FALSE,IF(ISERROR(DATE(2027,9,1)&gt;=DATE(YEAR('01 — Editable assumptions — USD'!B60),MONTH('01 — Editable assumptions — USD'!B60),1)),DATE(2027,9,1)&gt;=DATE(YEAR('01 — Editable assumptions — USD'!B60),MONTH('01 — Editable assumptions — USD'!B60),1),IF(DATE(YEAR('01 — Editable assumptions — USD'!B60),MONTH('01 — Editable assumptions — USD'!B60),1)="","",DATE(2027,9,1)&gt;=DATE(YEAR('01 — Editable assumptions — USD'!B60),MONTH('01 — Editable assumptions — USD'!B60),1)))),IF('03 — Digital unit economics and'!B21="","",'03 — Digital unit economics and'!B21),0)</f>
        <v>497.19</v>
      </c>
      <c r="N7" s="9">
        <f>IF(IF(IF(ISERROR(DATE(2027,10,1)&gt;=DATE(YEAR('01 — Editable assumptions — USD'!B60),MONTH('01 — Editable assumptions — USD'!B60),1)),DATE(2027,10,1)&gt;=DATE(YEAR('01 — Editable assumptions — USD'!B60),MONTH('01 — Editable assumptions — USD'!B60),1),IF(DATE(YEAR('01 — Editable assumptions — USD'!B60),MONTH('01 — Editable assumptions — USD'!B60),1)="","",DATE(2027,10,1)&gt;=DATE(YEAR('01 — Editable assumptions — USD'!B60),MONTH('01 — Editable assumptions — USD'!B60),1)))="",FALSE,IF(ISERROR(DATE(2027,10,1)&gt;=DATE(YEAR('01 — Editable assumptions — USD'!B60),MONTH('01 — Editable assumptions — USD'!B60),1)),DATE(2027,10,1)&gt;=DATE(YEAR('01 — Editable assumptions — USD'!B60),MONTH('01 — Editable assumptions — USD'!B60),1),IF(DATE(YEAR('01 — Editable assumptions — USD'!B60),MONTH('01 — Editable assumptions — USD'!B60),1)="","",DATE(2027,10,1)&gt;=DATE(YEAR('01 — Editable assumptions — USD'!B60),MONTH('01 — Editable assumptions — USD'!B60),1)))),IF('03 — Digital unit economics and'!B21="","",'03 — Digital unit economics and'!B21),0)</f>
        <v>497.19</v>
      </c>
      <c r="O7" s="9">
        <f>IF(IF(IF(ISERROR(DATE(2027,11,1)&gt;=DATE(YEAR('01 — Editable assumptions — USD'!B60),MONTH('01 — Editable assumptions — USD'!B60),1)),DATE(2027,11,1)&gt;=DATE(YEAR('01 — Editable assumptions — USD'!B60),MONTH('01 — Editable assumptions — USD'!B60),1),IF(DATE(YEAR('01 — Editable assumptions — USD'!B60),MONTH('01 — Editable assumptions — USD'!B60),1)="","",DATE(2027,11,1)&gt;=DATE(YEAR('01 — Editable assumptions — USD'!B60),MONTH('01 — Editable assumptions — USD'!B60),1)))="",FALSE,IF(ISERROR(DATE(2027,11,1)&gt;=DATE(YEAR('01 — Editable assumptions — USD'!B60),MONTH('01 — Editable assumptions — USD'!B60),1)),DATE(2027,11,1)&gt;=DATE(YEAR('01 — Editable assumptions — USD'!B60),MONTH('01 — Editable assumptions — USD'!B60),1),IF(DATE(YEAR('01 — Editable assumptions — USD'!B60),MONTH('01 — Editable assumptions — USD'!B60),1)="","",DATE(2027,11,1)&gt;=DATE(YEAR('01 — Editable assumptions — USD'!B60),MONTH('01 — Editable assumptions — USD'!B60),1)))),IF('03 — Digital unit economics and'!B21="","",'03 — Digital unit economics and'!B21),0)</f>
        <v>497.19</v>
      </c>
      <c r="P7" s="9">
        <f>IF(IF(IF(ISERROR(DATE(2027,12,1)&gt;=DATE(YEAR('01 — Editable assumptions — USD'!B60),MONTH('01 — Editable assumptions — USD'!B60),1)),DATE(2027,12,1)&gt;=DATE(YEAR('01 — Editable assumptions — USD'!B60),MONTH('01 — Editable assumptions — USD'!B60),1),IF(DATE(YEAR('01 — Editable assumptions — USD'!B60),MONTH('01 — Editable assumptions — USD'!B60),1)="","",DATE(2027,12,1)&gt;=DATE(YEAR('01 — Editable assumptions — USD'!B60),MONTH('01 — Editable assumptions — USD'!B60),1)))="",FALSE,IF(ISERROR(DATE(2027,12,1)&gt;=DATE(YEAR('01 — Editable assumptions — USD'!B60),MONTH('01 — Editable assumptions — USD'!B60),1)),DATE(2027,12,1)&gt;=DATE(YEAR('01 — Editable assumptions — USD'!B60),MONTH('01 — Editable assumptions — USD'!B60),1),IF(DATE(YEAR('01 — Editable assumptions — USD'!B60),MONTH('01 — Editable assumptions — USD'!B60),1)="","",DATE(2027,12,1)&gt;=DATE(YEAR('01 — Editable assumptions — USD'!B60),MONTH('01 — Editable assumptions — USD'!B60),1)))),IF('03 — Digital unit economics and'!B21="","",'03 — Digital unit economics and'!B21),0)</f>
        <v>497.19</v>
      </c>
    </row>
    <row r="8">
      <c r="A8" t="inlineStr" s="7">
        <is>
          <t xml:space="preserve">TS Projected cash flow bootstrap</t>
        </is>
      </c>
      <c r="B8" s="9">
        <f>'07 — Cash projection — hypothet'!B6-'07 — Cash projection — hypothet'!B7-'04 — Scenario comparison — Base'!B17-'04 — Scenario comparison — Base'!B18-'01 — Editable assumptions — USD'!B36+'01 — Editable assumptions — USD'!B43+'01 — Editable assumptions — USD'!B44</f>
        <v>-600</v>
      </c>
      <c r="C8" s="9">
        <f>'07 — Cash projection — hypothet'!C6-'07 — Cash projection — hypothet'!C7-'04 — Scenario comparison — Base'!B17-'04 — Scenario comparison — Base'!B18-'01 — Editable assumptions — USD'!B36+'01 — Editable assumptions — USD'!B43+'01 — Editable assumptions — USD'!B44</f>
        <v>-600</v>
      </c>
      <c r="D8" s="9">
        <f>'07 — Cash projection — hypothet'!D6-'07 — Cash projection — hypothet'!D7-'04 — Scenario comparison — Base'!B17-'04 — Scenario comparison — Base'!B18-'01 — Editable assumptions — USD'!B36+'01 — Editable assumptions — USD'!B43+'01 — Editable assumptions — USD'!B44</f>
        <v>-600</v>
      </c>
      <c r="E8" s="9">
        <f>'07 — Cash projection — hypothet'!E6-'07 — Cash projection — hypothet'!E7-'04 — Scenario comparison — Base'!B17-'04 — Scenario comparison — Base'!B18-'01 — Editable assumptions — USD'!B36+'01 — Editable assumptions — USD'!B43+'01 — Editable assumptions — USD'!B44</f>
        <v>702.81</v>
      </c>
      <c r="F8" s="9">
        <f>'07 — Cash projection — hypothet'!F6-'07 — Cash projection — hypothet'!F7-'04 — Scenario comparison — Base'!B17-'04 — Scenario comparison — Base'!B18-'01 — Editable assumptions — USD'!B36+'01 — Editable assumptions — USD'!B43+'01 — Editable assumptions — USD'!B44</f>
        <v>702.81</v>
      </c>
      <c r="G8" s="9">
        <f>'07 — Cash projection — hypothet'!G6-'07 — Cash projection — hypothet'!G7-'04 — Scenario comparison — Base'!B17-'04 — Scenario comparison — Base'!B18-'01 — Editable assumptions — USD'!B36+'01 — Editable assumptions — USD'!B43+'01 — Editable assumptions — USD'!B44</f>
        <v>702.81</v>
      </c>
      <c r="H8" s="9">
        <f>'07 — Cash projection — hypothet'!H6-'07 — Cash projection — hypothet'!H7-'04 — Scenario comparison — Base'!B17-'04 — Scenario comparison — Base'!B18-'01 — Editable assumptions — USD'!B36+'01 — Editable assumptions — USD'!B43+'01 — Editable assumptions — USD'!B44</f>
        <v>702.81</v>
      </c>
      <c r="I8" s="9">
        <f>'07 — Cash projection — hypothet'!I6-'07 — Cash projection — hypothet'!I7-'04 — Scenario comparison — Base'!B17-'04 — Scenario comparison — Base'!B18-'01 — Editable assumptions — USD'!B36+'01 — Editable assumptions — USD'!B43+'01 — Editable assumptions — USD'!B44</f>
        <v>702.81</v>
      </c>
      <c r="J8" s="9">
        <f>'07 — Cash projection — hypothet'!J6-'07 — Cash projection — hypothet'!J7-'04 — Scenario comparison — Base'!B17-'04 — Scenario comparison — Base'!B18-'01 — Editable assumptions — USD'!B36+'01 — Editable assumptions — USD'!B43+'01 — Editable assumptions — USD'!B44</f>
        <v>702.81</v>
      </c>
      <c r="K8" s="9">
        <f>'07 — Cash projection — hypothet'!K6-'07 — Cash projection — hypothet'!K7-'04 — Scenario comparison — Base'!B17-'04 — Scenario comparison — Base'!B18-'01 — Editable assumptions — USD'!B36+'01 — Editable assumptions — USD'!B43+'01 — Editable assumptions — USD'!B44</f>
        <v>702.81</v>
      </c>
      <c r="L8" s="9">
        <f>'07 — Cash projection — hypothet'!L6-'07 — Cash projection — hypothet'!L7-'04 — Scenario comparison — Base'!B17-'04 — Scenario comparison — Base'!B18-'01 — Editable assumptions — USD'!B36+'01 — Editable assumptions — USD'!B43+'01 — Editable assumptions — USD'!B44</f>
        <v>702.81</v>
      </c>
      <c r="M8" s="9">
        <f>'07 — Cash projection — hypothet'!M6-'07 — Cash projection — hypothet'!M7-'04 — Scenario comparison — Base'!B17-'04 — Scenario comparison — Base'!B18-'01 — Editable assumptions — USD'!B36+'01 — Editable assumptions — USD'!B43+'01 — Editable assumptions — USD'!B44</f>
        <v>702.81</v>
      </c>
      <c r="N8" s="9">
        <f>'07 — Cash projection — hypothet'!N6-'07 — Cash projection — hypothet'!N7-'04 — Scenario comparison — Base'!B17-'04 — Scenario comparison — Base'!B18-'01 — Editable assumptions — USD'!B36+'01 — Editable assumptions — USD'!B43+'01 — Editable assumptions — USD'!B44</f>
        <v>702.81</v>
      </c>
      <c r="O8" s="9">
        <f>'07 — Cash projection — hypothet'!O6-'07 — Cash projection — hypothet'!O7-'04 — Scenario comparison — Base'!B17-'04 — Scenario comparison — Base'!B18-'01 — Editable assumptions — USD'!B36+'01 — Editable assumptions — USD'!B43+'01 — Editable assumptions — USD'!B44</f>
        <v>702.81</v>
      </c>
      <c r="P8" s="9">
        <f>'07 — Cash projection — hypothet'!P6-'07 — Cash projection — hypothet'!P7-'04 — Scenario comparison — Base'!B17-'04 — Scenario comparison — Base'!B18-'01 — Editable assumptions — USD'!B36+'01 — Editable assumptions — USD'!B43+'01 — Editable assumptions — USD'!B44</f>
        <v>702.81</v>
      </c>
    </row>
    <row r="9">
      <c r="A9" t="inlineStr" s="7">
        <is>
          <t xml:space="preserve">TS Projected cash flow founder</t>
        </is>
      </c>
      <c r="B9" s="9">
        <f>'07 — Cash projection — hypothet'!B8+'01 — Editable assumptions — USD'!B36-'01 — Editable assumptions — USD'!B37</f>
        <v>-3600</v>
      </c>
      <c r="C9" s="9">
        <f>'07 — Cash projection — hypothet'!C8+'01 — Editable assumptions — USD'!B36-'01 — Editable assumptions — USD'!B37</f>
        <v>-3600</v>
      </c>
      <c r="D9" s="9">
        <f>'07 — Cash projection — hypothet'!D8+'01 — Editable assumptions — USD'!B36-'01 — Editable assumptions — USD'!B37</f>
        <v>-3600</v>
      </c>
      <c r="E9" s="9">
        <f>'07 — Cash projection — hypothet'!E8+'01 — Editable assumptions — USD'!B36-'01 — Editable assumptions — USD'!B37</f>
        <v>-2297.19</v>
      </c>
      <c r="F9" s="9">
        <f>'07 — Cash projection — hypothet'!F8+'01 — Editable assumptions — USD'!B36-'01 — Editable assumptions — USD'!B37</f>
        <v>-2297.19</v>
      </c>
      <c r="G9" s="9">
        <f>'07 — Cash projection — hypothet'!G8+'01 — Editable assumptions — USD'!B36-'01 — Editable assumptions — USD'!B37</f>
        <v>-2297.19</v>
      </c>
      <c r="H9" s="9">
        <f>'07 — Cash projection — hypothet'!H8+'01 — Editable assumptions — USD'!B36-'01 — Editable assumptions — USD'!B37</f>
        <v>-2297.19</v>
      </c>
      <c r="I9" s="9">
        <f>'07 — Cash projection — hypothet'!I8+'01 — Editable assumptions — USD'!B36-'01 — Editable assumptions — USD'!B37</f>
        <v>-2297.19</v>
      </c>
      <c r="J9" s="9">
        <f>'07 — Cash projection — hypothet'!J8+'01 — Editable assumptions — USD'!B36-'01 — Editable assumptions — USD'!B37</f>
        <v>-2297.19</v>
      </c>
      <c r="K9" s="9">
        <f>'07 — Cash projection — hypothet'!K8+'01 — Editable assumptions — USD'!B36-'01 — Editable assumptions — USD'!B37</f>
        <v>-2297.19</v>
      </c>
      <c r="L9" s="9">
        <f>'07 — Cash projection — hypothet'!L8+'01 — Editable assumptions — USD'!B36-'01 — Editable assumptions — USD'!B37</f>
        <v>-2297.19</v>
      </c>
      <c r="M9" s="9">
        <f>'07 — Cash projection — hypothet'!M8+'01 — Editable assumptions — USD'!B36-'01 — Editable assumptions — USD'!B37</f>
        <v>-2297.19</v>
      </c>
      <c r="N9" s="9">
        <f>'07 — Cash projection — hypothet'!N8+'01 — Editable assumptions — USD'!B36-'01 — Editable assumptions — USD'!B37</f>
        <v>-2297.19</v>
      </c>
      <c r="O9" s="9">
        <f>'07 — Cash projection — hypothet'!O8+'01 — Editable assumptions — USD'!B36-'01 — Editable assumptions — USD'!B37</f>
        <v>-2297.19</v>
      </c>
      <c r="P9" s="9">
        <f>'07 — Cash projection — hypothet'!P8+'01 — Editable assumptions — USD'!B36-'01 — Editable assumptions — USD'!B37</f>
        <v>-2297.19</v>
      </c>
    </row>
    <row r="10">
      <c r="A10" t="inlineStr" s="7">
        <is>
          <t xml:space="preserve">TS Projected cash bootstrap</t>
        </is>
      </c>
      <c r="B10" s="9">
        <f>IF(IF(IF(IF(ISERROR(DATE(2026,10,1)=DATE(YEAR('01 — Editable assumptions — USD'!B61),MONTH('01 — Editable assumptions — USD'!B61),1)),DATE(2026,10,1)=DATE(YEAR('01 — Editable assumptions — USD'!B61),MONTH('01 — Editable assumptions — USD'!B61),1),IF(DATE(YEAR('01 — Editable assumptions — USD'!B61),MONTH('01 — Editable assumptions — USD'!B61),1)="","",DATE(2026,10,1)=DATE(YEAR('01 — Editable assumptions — USD'!B61),MONTH('01 — Editable assumptions — USD'!B61),1)))="",FALSE,IF(ISERROR(DATE(2026,10,1)=DATE(YEAR('01 — Editable assumptions — USD'!B61),MONTH('01 — Editable assumptions — USD'!B61),1)),DATE(2026,10,1)=DATE(YEAR('01 — Editable assumptions — USD'!B61),MONTH('01 — Editable assumptions — USD'!B61),1),IF(DATE(YEAR('01 — Editable assumptions — USD'!B61),MONTH('01 — Editable assumptions — USD'!B61),1)="","",DATE(2026,10,1)=DATE(YEAR('01 — Editable assumptions — USD'!B61),MONTH('01 — Editable assumptions — USD'!B61),1)))),IF('04 — Scenario comparison — Base'!B24="","",'04 — Scenario comparison — Base'!B24),IF('Model inputs'!D98="","",'Model inputs'!D98))="",0,IF(IF(IF(ISERROR(DATE(2026,10,1)=DATE(YEAR('01 — Editable assumptions — USD'!B61),MONTH('01 — Editable assumptions — USD'!B61),1)),DATE(2026,10,1)=DATE(YEAR('01 — Editable assumptions — USD'!B61),MONTH('01 — Editable assumptions — USD'!B61),1),IF(DATE(YEAR('01 — Editable assumptions — USD'!B61),MONTH('01 — Editable assumptions — USD'!B61),1)="","",DATE(2026,10,1)=DATE(YEAR('01 — Editable assumptions — USD'!B61),MONTH('01 — Editable assumptions — USD'!B61),1)))="",FALSE,IF(ISERROR(DATE(2026,10,1)=DATE(YEAR('01 — Editable assumptions — USD'!B61),MONTH('01 — Editable assumptions — USD'!B61),1)),DATE(2026,10,1)=DATE(YEAR('01 — Editable assumptions — USD'!B61),MONTH('01 — Editable assumptions — USD'!B61),1),IF(DATE(YEAR('01 — Editable assumptions — USD'!B61),MONTH('01 — Editable assumptions — USD'!B61),1)="","",DATE(2026,10,1)=DATE(YEAR('01 — Editable assumptions — USD'!B61),MONTH('01 — Editable assumptions — USD'!B61),1)))),IF('04 — Scenario comparison — Base'!B24="","",'04 — Scenario comparison — Base'!B24),IF('Model inputs'!D98="","",'Model inputs'!D98)))+'07 — Cash projection — hypothet'!B8</f>
        <v>400</v>
      </c>
      <c r="C10" s="9">
        <f>IF(IF(IF(IF(ISERROR(DATE(2026,11,1)=DATE(YEAR('01 — Editable assumptions — USD'!B61),MONTH('01 — Editable assumptions — USD'!B61),1)),DATE(2026,11,1)=DATE(YEAR('01 — Editable assumptions — USD'!B61),MONTH('01 — Editable assumptions — USD'!B61),1),IF(DATE(YEAR('01 — Editable assumptions — USD'!B61),MONTH('01 — Editable assumptions — USD'!B61),1)="","",DATE(2026,11,1)=DATE(YEAR('01 — Editable assumptions — USD'!B61),MONTH('01 — Editable assumptions — USD'!B61),1)))="",FALSE,IF(ISERROR(DATE(2026,11,1)=DATE(YEAR('01 — Editable assumptions — USD'!B61),MONTH('01 — Editable assumptions — USD'!B61),1)),DATE(2026,11,1)=DATE(YEAR('01 — Editable assumptions — USD'!B61),MONTH('01 — Editable assumptions — USD'!B61),1),IF(DATE(YEAR('01 — Editable assumptions — USD'!B61),MONTH('01 — Editable assumptions — USD'!B61),1)="","",DATE(2026,11,1)=DATE(YEAR('01 — Editable assumptions — USD'!B61),MONTH('01 — Editable assumptions — USD'!B61),1)))),IF('04 — Scenario comparison — Base'!B24="","",'04 — Scenario comparison — Base'!B24),IF('07 — Cash projection — hypothet'!B10="","",'07 — Cash projection — hypothet'!B10))="",0,IF(IF(IF(ISERROR(DATE(2026,11,1)=DATE(YEAR('01 — Editable assumptions — USD'!B61),MONTH('01 — Editable assumptions — USD'!B61),1)),DATE(2026,11,1)=DATE(YEAR('01 — Editable assumptions — USD'!B61),MONTH('01 — Editable assumptions — USD'!B61),1),IF(DATE(YEAR('01 — Editable assumptions — USD'!B61),MONTH('01 — Editable assumptions — USD'!B61),1)="","",DATE(2026,11,1)=DATE(YEAR('01 — Editable assumptions — USD'!B61),MONTH('01 — Editable assumptions — USD'!B61),1)))="",FALSE,IF(ISERROR(DATE(2026,11,1)=DATE(YEAR('01 — Editable assumptions — USD'!B61),MONTH('01 — Editable assumptions — USD'!B61),1)),DATE(2026,11,1)=DATE(YEAR('01 — Editable assumptions — USD'!B61),MONTH('01 — Editable assumptions — USD'!B61),1),IF(DATE(YEAR('01 — Editable assumptions — USD'!B61),MONTH('01 — Editable assumptions — USD'!B61),1)="","",DATE(2026,11,1)=DATE(YEAR('01 — Editable assumptions — USD'!B61),MONTH('01 — Editable assumptions — USD'!B61),1)))),IF('04 — Scenario comparison — Base'!B24="","",'04 — Scenario comparison — Base'!B24),IF('07 — Cash projection — hypothet'!B10="","",'07 — Cash projection — hypothet'!B10)))+'07 — Cash projection — hypothet'!C8</f>
        <v>-200</v>
      </c>
      <c r="D10" s="9">
        <f>IF(IF(IF(IF(ISERROR(DATE(2026,12,1)=DATE(YEAR('01 — Editable assumptions — USD'!B61),MONTH('01 — Editable assumptions — USD'!B61),1)),DATE(2026,12,1)=DATE(YEAR('01 — Editable assumptions — USD'!B61),MONTH('01 — Editable assumptions — USD'!B61),1),IF(DATE(YEAR('01 — Editable assumptions — USD'!B61),MONTH('01 — Editable assumptions — USD'!B61),1)="","",DATE(2026,12,1)=DATE(YEAR('01 — Editable assumptions — USD'!B61),MONTH('01 — Editable assumptions — USD'!B61),1)))="",FALSE,IF(ISERROR(DATE(2026,12,1)=DATE(YEAR('01 — Editable assumptions — USD'!B61),MONTH('01 — Editable assumptions — USD'!B61),1)),DATE(2026,12,1)=DATE(YEAR('01 — Editable assumptions — USD'!B61),MONTH('01 — Editable assumptions — USD'!B61),1),IF(DATE(YEAR('01 — Editable assumptions — USD'!B61),MONTH('01 — Editable assumptions — USD'!B61),1)="","",DATE(2026,12,1)=DATE(YEAR('01 — Editable assumptions — USD'!B61),MONTH('01 — Editable assumptions — USD'!B61),1)))),IF('04 — Scenario comparison — Base'!B24="","",'04 — Scenario comparison — Base'!B24),IF('07 — Cash projection — hypothet'!C10="","",'07 — Cash projection — hypothet'!C10))="",0,IF(IF(IF(ISERROR(DATE(2026,12,1)=DATE(YEAR('01 — Editable assumptions — USD'!B61),MONTH('01 — Editable assumptions — USD'!B61),1)),DATE(2026,12,1)=DATE(YEAR('01 — Editable assumptions — USD'!B61),MONTH('01 — Editable assumptions — USD'!B61),1),IF(DATE(YEAR('01 — Editable assumptions — USD'!B61),MONTH('01 — Editable assumptions — USD'!B61),1)="","",DATE(2026,12,1)=DATE(YEAR('01 — Editable assumptions — USD'!B61),MONTH('01 — Editable assumptions — USD'!B61),1)))="",FALSE,IF(ISERROR(DATE(2026,12,1)=DATE(YEAR('01 — Editable assumptions — USD'!B61),MONTH('01 — Editable assumptions — USD'!B61),1)),DATE(2026,12,1)=DATE(YEAR('01 — Editable assumptions — USD'!B61),MONTH('01 — Editable assumptions — USD'!B61),1),IF(DATE(YEAR('01 — Editable assumptions — USD'!B61),MONTH('01 — Editable assumptions — USD'!B61),1)="","",DATE(2026,12,1)=DATE(YEAR('01 — Editable assumptions — USD'!B61),MONTH('01 — Editable assumptions — USD'!B61),1)))),IF('04 — Scenario comparison — Base'!B24="","",'04 — Scenario comparison — Base'!B24),IF('07 — Cash projection — hypothet'!C10="","",'07 — Cash projection — hypothet'!C10)))+'07 — Cash projection — hypothet'!D8</f>
        <v>-800</v>
      </c>
      <c r="E10" s="9">
        <f>IF(IF(IF(IF(ISERROR(DATE(2027,1,1)=DATE(YEAR('01 — Editable assumptions — USD'!B61),MONTH('01 — Editable assumptions — USD'!B61),1)),DATE(2027,1,1)=DATE(YEAR('01 — Editable assumptions — USD'!B61),MONTH('01 — Editable assumptions — USD'!B61),1),IF(DATE(YEAR('01 — Editable assumptions — USD'!B61),MONTH('01 — Editable assumptions — USD'!B61),1)="","",DATE(2027,1,1)=DATE(YEAR('01 — Editable assumptions — USD'!B61),MONTH('01 — Editable assumptions — USD'!B61),1)))="",FALSE,IF(ISERROR(DATE(2027,1,1)=DATE(YEAR('01 — Editable assumptions — USD'!B61),MONTH('01 — Editable assumptions — USD'!B61),1)),DATE(2027,1,1)=DATE(YEAR('01 — Editable assumptions — USD'!B61),MONTH('01 — Editable assumptions — USD'!B61),1),IF(DATE(YEAR('01 — Editable assumptions — USD'!B61),MONTH('01 — Editable assumptions — USD'!B61),1)="","",DATE(2027,1,1)=DATE(YEAR('01 — Editable assumptions — USD'!B61),MONTH('01 — Editable assumptions — USD'!B61),1)))),IF('04 — Scenario comparison — Base'!B24="","",'04 — Scenario comparison — Base'!B24),IF('07 — Cash projection — hypothet'!D10="","",'07 — Cash projection — hypothet'!D10))="",0,IF(IF(IF(ISERROR(DATE(2027,1,1)=DATE(YEAR('01 — Editable assumptions — USD'!B61),MONTH('01 — Editable assumptions — USD'!B61),1)),DATE(2027,1,1)=DATE(YEAR('01 — Editable assumptions — USD'!B61),MONTH('01 — Editable assumptions — USD'!B61),1),IF(DATE(YEAR('01 — Editable assumptions — USD'!B61),MONTH('01 — Editable assumptions — USD'!B61),1)="","",DATE(2027,1,1)=DATE(YEAR('01 — Editable assumptions — USD'!B61),MONTH('01 — Editable assumptions — USD'!B61),1)))="",FALSE,IF(ISERROR(DATE(2027,1,1)=DATE(YEAR('01 — Editable assumptions — USD'!B61),MONTH('01 — Editable assumptions — USD'!B61),1)),DATE(2027,1,1)=DATE(YEAR('01 — Editable assumptions — USD'!B61),MONTH('01 — Editable assumptions — USD'!B61),1),IF(DATE(YEAR('01 — Editable assumptions — USD'!B61),MONTH('01 — Editable assumptions — USD'!B61),1)="","",DATE(2027,1,1)=DATE(YEAR('01 — Editable assumptions — USD'!B61),MONTH('01 — Editable assumptions — USD'!B61),1)))),IF('04 — Scenario comparison — Base'!B24="","",'04 — Scenario comparison — Base'!B24),IF('07 — Cash projection — hypothet'!D10="","",'07 — Cash projection — hypothet'!D10)))+'07 — Cash projection — hypothet'!E8</f>
        <v>-97.19000000000005</v>
      </c>
      <c r="F10" s="9">
        <f>IF(IF(IF(IF(ISERROR(DATE(2027,2,1)=DATE(YEAR('01 — Editable assumptions — USD'!B61),MONTH('01 — Editable assumptions — USD'!B61),1)),DATE(2027,2,1)=DATE(YEAR('01 — Editable assumptions — USD'!B61),MONTH('01 — Editable assumptions — USD'!B61),1),IF(DATE(YEAR('01 — Editable assumptions — USD'!B61),MONTH('01 — Editable assumptions — USD'!B61),1)="","",DATE(2027,2,1)=DATE(YEAR('01 — Editable assumptions — USD'!B61),MONTH('01 — Editable assumptions — USD'!B61),1)))="",FALSE,IF(ISERROR(DATE(2027,2,1)=DATE(YEAR('01 — Editable assumptions — USD'!B61),MONTH('01 — Editable assumptions — USD'!B61),1)),DATE(2027,2,1)=DATE(YEAR('01 — Editable assumptions — USD'!B61),MONTH('01 — Editable assumptions — USD'!B61),1),IF(DATE(YEAR('01 — Editable assumptions — USD'!B61),MONTH('01 — Editable assumptions — USD'!B61),1)="","",DATE(2027,2,1)=DATE(YEAR('01 — Editable assumptions — USD'!B61),MONTH('01 — Editable assumptions — USD'!B61),1)))),IF('04 — Scenario comparison — Base'!B24="","",'04 — Scenario comparison — Base'!B24),IF('07 — Cash projection — hypothet'!E10="","",'07 — Cash projection — hypothet'!E10))="",0,IF(IF(IF(ISERROR(DATE(2027,2,1)=DATE(YEAR('01 — Editable assumptions — USD'!B61),MONTH('01 — Editable assumptions — USD'!B61),1)),DATE(2027,2,1)=DATE(YEAR('01 — Editable assumptions — USD'!B61),MONTH('01 — Editable assumptions — USD'!B61),1),IF(DATE(YEAR('01 — Editable assumptions — USD'!B61),MONTH('01 — Editable assumptions — USD'!B61),1)="","",DATE(2027,2,1)=DATE(YEAR('01 — Editable assumptions — USD'!B61),MONTH('01 — Editable assumptions — USD'!B61),1)))="",FALSE,IF(ISERROR(DATE(2027,2,1)=DATE(YEAR('01 — Editable assumptions — USD'!B61),MONTH('01 — Editable assumptions — USD'!B61),1)),DATE(2027,2,1)=DATE(YEAR('01 — Editable assumptions — USD'!B61),MONTH('01 — Editable assumptions — USD'!B61),1),IF(DATE(YEAR('01 — Editable assumptions — USD'!B61),MONTH('01 — Editable assumptions — USD'!B61),1)="","",DATE(2027,2,1)=DATE(YEAR('01 — Editable assumptions — USD'!B61),MONTH('01 — Editable assumptions — USD'!B61),1)))),IF('04 — Scenario comparison — Base'!B24="","",'04 — Scenario comparison — Base'!B24),IF('07 — Cash projection — hypothet'!E10="","",'07 — Cash projection — hypothet'!E10)))+'07 — Cash projection — hypothet'!F8</f>
        <v>605.6199999999999</v>
      </c>
      <c r="G10" s="9">
        <f>IF(IF(IF(IF(ISERROR(DATE(2027,3,1)=DATE(YEAR('01 — Editable assumptions — USD'!B61),MONTH('01 — Editable assumptions — USD'!B61),1)),DATE(2027,3,1)=DATE(YEAR('01 — Editable assumptions — USD'!B61),MONTH('01 — Editable assumptions — USD'!B61),1),IF(DATE(YEAR('01 — Editable assumptions — USD'!B61),MONTH('01 — Editable assumptions — USD'!B61),1)="","",DATE(2027,3,1)=DATE(YEAR('01 — Editable assumptions — USD'!B61),MONTH('01 — Editable assumptions — USD'!B61),1)))="",FALSE,IF(ISERROR(DATE(2027,3,1)=DATE(YEAR('01 — Editable assumptions — USD'!B61),MONTH('01 — Editable assumptions — USD'!B61),1)),DATE(2027,3,1)=DATE(YEAR('01 — Editable assumptions — USD'!B61),MONTH('01 — Editable assumptions — USD'!B61),1),IF(DATE(YEAR('01 — Editable assumptions — USD'!B61),MONTH('01 — Editable assumptions — USD'!B61),1)="","",DATE(2027,3,1)=DATE(YEAR('01 — Editable assumptions — USD'!B61),MONTH('01 — Editable assumptions — USD'!B61),1)))),IF('04 — Scenario comparison — Base'!B24="","",'04 — Scenario comparison — Base'!B24),IF('07 — Cash projection — hypothet'!F10="","",'07 — Cash projection — hypothet'!F10))="",0,IF(IF(IF(ISERROR(DATE(2027,3,1)=DATE(YEAR('01 — Editable assumptions — USD'!B61),MONTH('01 — Editable assumptions — USD'!B61),1)),DATE(2027,3,1)=DATE(YEAR('01 — Editable assumptions — USD'!B61),MONTH('01 — Editable assumptions — USD'!B61),1),IF(DATE(YEAR('01 — Editable assumptions — USD'!B61),MONTH('01 — Editable assumptions — USD'!B61),1)="","",DATE(2027,3,1)=DATE(YEAR('01 — Editable assumptions — USD'!B61),MONTH('01 — Editable assumptions — USD'!B61),1)))="",FALSE,IF(ISERROR(DATE(2027,3,1)=DATE(YEAR('01 — Editable assumptions — USD'!B61),MONTH('01 — Editable assumptions — USD'!B61),1)),DATE(2027,3,1)=DATE(YEAR('01 — Editable assumptions — USD'!B61),MONTH('01 — Editable assumptions — USD'!B61),1),IF(DATE(YEAR('01 — Editable assumptions — USD'!B61),MONTH('01 — Editable assumptions — USD'!B61),1)="","",DATE(2027,3,1)=DATE(YEAR('01 — Editable assumptions — USD'!B61),MONTH('01 — Editable assumptions — USD'!B61),1)))),IF('04 — Scenario comparison — Base'!B24="","",'04 — Scenario comparison — Base'!B24),IF('07 — Cash projection — hypothet'!F10="","",'07 — Cash projection — hypothet'!F10)))+'07 — Cash projection — hypothet'!G8</f>
        <v>1308.4299999999998</v>
      </c>
      <c r="H10" s="9">
        <f>IF(IF(IF(IF(ISERROR(DATE(2027,4,1)=DATE(YEAR('01 — Editable assumptions — USD'!B61),MONTH('01 — Editable assumptions — USD'!B61),1)),DATE(2027,4,1)=DATE(YEAR('01 — Editable assumptions — USD'!B61),MONTH('01 — Editable assumptions — USD'!B61),1),IF(DATE(YEAR('01 — Editable assumptions — USD'!B61),MONTH('01 — Editable assumptions — USD'!B61),1)="","",DATE(2027,4,1)=DATE(YEAR('01 — Editable assumptions — USD'!B61),MONTH('01 — Editable assumptions — USD'!B61),1)))="",FALSE,IF(ISERROR(DATE(2027,4,1)=DATE(YEAR('01 — Editable assumptions — USD'!B61),MONTH('01 — Editable assumptions — USD'!B61),1)),DATE(2027,4,1)=DATE(YEAR('01 — Editable assumptions — USD'!B61),MONTH('01 — Editable assumptions — USD'!B61),1),IF(DATE(YEAR('01 — Editable assumptions — USD'!B61),MONTH('01 — Editable assumptions — USD'!B61),1)="","",DATE(2027,4,1)=DATE(YEAR('01 — Editable assumptions — USD'!B61),MONTH('01 — Editable assumptions — USD'!B61),1)))),IF('04 — Scenario comparison — Base'!B24="","",'04 — Scenario comparison — Base'!B24),IF('07 — Cash projection — hypothet'!G10="","",'07 — Cash projection — hypothet'!G10))="",0,IF(IF(IF(ISERROR(DATE(2027,4,1)=DATE(YEAR('01 — Editable assumptions — USD'!B61),MONTH('01 — Editable assumptions — USD'!B61),1)),DATE(2027,4,1)=DATE(YEAR('01 — Editable assumptions — USD'!B61),MONTH('01 — Editable assumptions — USD'!B61),1),IF(DATE(YEAR('01 — Editable assumptions — USD'!B61),MONTH('01 — Editable assumptions — USD'!B61),1)="","",DATE(2027,4,1)=DATE(YEAR('01 — Editable assumptions — USD'!B61),MONTH('01 — Editable assumptions — USD'!B61),1)))="",FALSE,IF(ISERROR(DATE(2027,4,1)=DATE(YEAR('01 — Editable assumptions — USD'!B61),MONTH('01 — Editable assumptions — USD'!B61),1)),DATE(2027,4,1)=DATE(YEAR('01 — Editable assumptions — USD'!B61),MONTH('01 — Editable assumptions — USD'!B61),1),IF(DATE(YEAR('01 — Editable assumptions — USD'!B61),MONTH('01 — Editable assumptions — USD'!B61),1)="","",DATE(2027,4,1)=DATE(YEAR('01 — Editable assumptions — USD'!B61),MONTH('01 — Editable assumptions — USD'!B61),1)))),IF('04 — Scenario comparison — Base'!B24="","",'04 — Scenario comparison — Base'!B24),IF('07 — Cash projection — hypothet'!G10="","",'07 — Cash projection — hypothet'!G10)))+'07 — Cash projection — hypothet'!H8</f>
        <v>2011.2399999999998</v>
      </c>
      <c r="I10" s="9">
        <f>IF(IF(IF(IF(ISERROR(DATE(2027,5,1)=DATE(YEAR('01 — Editable assumptions — USD'!B61),MONTH('01 — Editable assumptions — USD'!B61),1)),DATE(2027,5,1)=DATE(YEAR('01 — Editable assumptions — USD'!B61),MONTH('01 — Editable assumptions — USD'!B61),1),IF(DATE(YEAR('01 — Editable assumptions — USD'!B61),MONTH('01 — Editable assumptions — USD'!B61),1)="","",DATE(2027,5,1)=DATE(YEAR('01 — Editable assumptions — USD'!B61),MONTH('01 — Editable assumptions — USD'!B61),1)))="",FALSE,IF(ISERROR(DATE(2027,5,1)=DATE(YEAR('01 — Editable assumptions — USD'!B61),MONTH('01 — Editable assumptions — USD'!B61),1)),DATE(2027,5,1)=DATE(YEAR('01 — Editable assumptions — USD'!B61),MONTH('01 — Editable assumptions — USD'!B61),1),IF(DATE(YEAR('01 — Editable assumptions — USD'!B61),MONTH('01 — Editable assumptions — USD'!B61),1)="","",DATE(2027,5,1)=DATE(YEAR('01 — Editable assumptions — USD'!B61),MONTH('01 — Editable assumptions — USD'!B61),1)))),IF('04 — Scenario comparison — Base'!B24="","",'04 — Scenario comparison — Base'!B24),IF('07 — Cash projection — hypothet'!H10="","",'07 — Cash projection — hypothet'!H10))="",0,IF(IF(IF(ISERROR(DATE(2027,5,1)=DATE(YEAR('01 — Editable assumptions — USD'!B61),MONTH('01 — Editable assumptions — USD'!B61),1)),DATE(2027,5,1)=DATE(YEAR('01 — Editable assumptions — USD'!B61),MONTH('01 — Editable assumptions — USD'!B61),1),IF(DATE(YEAR('01 — Editable assumptions — USD'!B61),MONTH('01 — Editable assumptions — USD'!B61),1)="","",DATE(2027,5,1)=DATE(YEAR('01 — Editable assumptions — USD'!B61),MONTH('01 — Editable assumptions — USD'!B61),1)))="",FALSE,IF(ISERROR(DATE(2027,5,1)=DATE(YEAR('01 — Editable assumptions — USD'!B61),MONTH('01 — Editable assumptions — USD'!B61),1)),DATE(2027,5,1)=DATE(YEAR('01 — Editable assumptions — USD'!B61),MONTH('01 — Editable assumptions — USD'!B61),1),IF(DATE(YEAR('01 — Editable assumptions — USD'!B61),MONTH('01 — Editable assumptions — USD'!B61),1)="","",DATE(2027,5,1)=DATE(YEAR('01 — Editable assumptions — USD'!B61),MONTH('01 — Editable assumptions — USD'!B61),1)))),IF('04 — Scenario comparison — Base'!B24="","",'04 — Scenario comparison — Base'!B24),IF('07 — Cash projection — hypothet'!H10="","",'07 — Cash projection — hypothet'!H10)))+'07 — Cash projection — hypothet'!I8</f>
        <v>2714.0499999999997</v>
      </c>
      <c r="J10" s="9">
        <f>IF(IF(IF(IF(ISERROR(DATE(2027,6,1)=DATE(YEAR('01 — Editable assumptions — USD'!B61),MONTH('01 — Editable assumptions — USD'!B61),1)),DATE(2027,6,1)=DATE(YEAR('01 — Editable assumptions — USD'!B61),MONTH('01 — Editable assumptions — USD'!B61),1),IF(DATE(YEAR('01 — Editable assumptions — USD'!B61),MONTH('01 — Editable assumptions — USD'!B61),1)="","",DATE(2027,6,1)=DATE(YEAR('01 — Editable assumptions — USD'!B61),MONTH('01 — Editable assumptions — USD'!B61),1)))="",FALSE,IF(ISERROR(DATE(2027,6,1)=DATE(YEAR('01 — Editable assumptions — USD'!B61),MONTH('01 — Editable assumptions — USD'!B61),1)),DATE(2027,6,1)=DATE(YEAR('01 — Editable assumptions — USD'!B61),MONTH('01 — Editable assumptions — USD'!B61),1),IF(DATE(YEAR('01 — Editable assumptions — USD'!B61),MONTH('01 — Editable assumptions — USD'!B61),1)="","",DATE(2027,6,1)=DATE(YEAR('01 — Editable assumptions — USD'!B61),MONTH('01 — Editable assumptions — USD'!B61),1)))),IF('04 — Scenario comparison — Base'!B24="","",'04 — Scenario comparison — Base'!B24),IF('07 — Cash projection — hypothet'!I10="","",'07 — Cash projection — hypothet'!I10))="",0,IF(IF(IF(ISERROR(DATE(2027,6,1)=DATE(YEAR('01 — Editable assumptions — USD'!B61),MONTH('01 — Editable assumptions — USD'!B61),1)),DATE(2027,6,1)=DATE(YEAR('01 — Editable assumptions — USD'!B61),MONTH('01 — Editable assumptions — USD'!B61),1),IF(DATE(YEAR('01 — Editable assumptions — USD'!B61),MONTH('01 — Editable assumptions — USD'!B61),1)="","",DATE(2027,6,1)=DATE(YEAR('01 — Editable assumptions — USD'!B61),MONTH('01 — Editable assumptions — USD'!B61),1)))="",FALSE,IF(ISERROR(DATE(2027,6,1)=DATE(YEAR('01 — Editable assumptions — USD'!B61),MONTH('01 — Editable assumptions — USD'!B61),1)),DATE(2027,6,1)=DATE(YEAR('01 — Editable assumptions — USD'!B61),MONTH('01 — Editable assumptions — USD'!B61),1),IF(DATE(YEAR('01 — Editable assumptions — USD'!B61),MONTH('01 — Editable assumptions — USD'!B61),1)="","",DATE(2027,6,1)=DATE(YEAR('01 — Editable assumptions — USD'!B61),MONTH('01 — Editable assumptions — USD'!B61),1)))),IF('04 — Scenario comparison — Base'!B24="","",'04 — Scenario comparison — Base'!B24),IF('07 — Cash projection — hypothet'!I10="","",'07 — Cash projection — hypothet'!I10)))+'07 — Cash projection — hypothet'!J8</f>
        <v>3416.8599999999997</v>
      </c>
      <c r="K10" s="9">
        <f>IF(IF(IF(IF(ISERROR(DATE(2027,7,1)=DATE(YEAR('01 — Editable assumptions — USD'!B61),MONTH('01 — Editable assumptions — USD'!B61),1)),DATE(2027,7,1)=DATE(YEAR('01 — Editable assumptions — USD'!B61),MONTH('01 — Editable assumptions — USD'!B61),1),IF(DATE(YEAR('01 — Editable assumptions — USD'!B61),MONTH('01 — Editable assumptions — USD'!B61),1)="","",DATE(2027,7,1)=DATE(YEAR('01 — Editable assumptions — USD'!B61),MONTH('01 — Editable assumptions — USD'!B61),1)))="",FALSE,IF(ISERROR(DATE(2027,7,1)=DATE(YEAR('01 — Editable assumptions — USD'!B61),MONTH('01 — Editable assumptions — USD'!B61),1)),DATE(2027,7,1)=DATE(YEAR('01 — Editable assumptions — USD'!B61),MONTH('01 — Editable assumptions — USD'!B61),1),IF(DATE(YEAR('01 — Editable assumptions — USD'!B61),MONTH('01 — Editable assumptions — USD'!B61),1)="","",DATE(2027,7,1)=DATE(YEAR('01 — Editable assumptions — USD'!B61),MONTH('01 — Editable assumptions — USD'!B61),1)))),IF('04 — Scenario comparison — Base'!B24="","",'04 — Scenario comparison — Base'!B24),IF('07 — Cash projection — hypothet'!J10="","",'07 — Cash projection — hypothet'!J10))="",0,IF(IF(IF(ISERROR(DATE(2027,7,1)=DATE(YEAR('01 — Editable assumptions — USD'!B61),MONTH('01 — Editable assumptions — USD'!B61),1)),DATE(2027,7,1)=DATE(YEAR('01 — Editable assumptions — USD'!B61),MONTH('01 — Editable assumptions — USD'!B61),1),IF(DATE(YEAR('01 — Editable assumptions — USD'!B61),MONTH('01 — Editable assumptions — USD'!B61),1)="","",DATE(2027,7,1)=DATE(YEAR('01 — Editable assumptions — USD'!B61),MONTH('01 — Editable assumptions — USD'!B61),1)))="",FALSE,IF(ISERROR(DATE(2027,7,1)=DATE(YEAR('01 — Editable assumptions — USD'!B61),MONTH('01 — Editable assumptions — USD'!B61),1)),DATE(2027,7,1)=DATE(YEAR('01 — Editable assumptions — USD'!B61),MONTH('01 — Editable assumptions — USD'!B61),1),IF(DATE(YEAR('01 — Editable assumptions — USD'!B61),MONTH('01 — Editable assumptions — USD'!B61),1)="","",DATE(2027,7,1)=DATE(YEAR('01 — Editable assumptions — USD'!B61),MONTH('01 — Editable assumptions — USD'!B61),1)))),IF('04 — Scenario comparison — Base'!B24="","",'04 — Scenario comparison — Base'!B24),IF('07 — Cash projection — hypothet'!J10="","",'07 — Cash projection — hypothet'!J10)))+'07 — Cash projection — hypothet'!K8</f>
        <v>4119.67</v>
      </c>
      <c r="L10" s="9">
        <f>IF(IF(IF(IF(ISERROR(DATE(2027,8,1)=DATE(YEAR('01 — Editable assumptions — USD'!B61),MONTH('01 — Editable assumptions — USD'!B61),1)),DATE(2027,8,1)=DATE(YEAR('01 — Editable assumptions — USD'!B61),MONTH('01 — Editable assumptions — USD'!B61),1),IF(DATE(YEAR('01 — Editable assumptions — USD'!B61),MONTH('01 — Editable assumptions — USD'!B61),1)="","",DATE(2027,8,1)=DATE(YEAR('01 — Editable assumptions — USD'!B61),MONTH('01 — Editable assumptions — USD'!B61),1)))="",FALSE,IF(ISERROR(DATE(2027,8,1)=DATE(YEAR('01 — Editable assumptions — USD'!B61),MONTH('01 — Editable assumptions — USD'!B61),1)),DATE(2027,8,1)=DATE(YEAR('01 — Editable assumptions — USD'!B61),MONTH('01 — Editable assumptions — USD'!B61),1),IF(DATE(YEAR('01 — Editable assumptions — USD'!B61),MONTH('01 — Editable assumptions — USD'!B61),1)="","",DATE(2027,8,1)=DATE(YEAR('01 — Editable assumptions — USD'!B61),MONTH('01 — Editable assumptions — USD'!B61),1)))),IF('04 — Scenario comparison — Base'!B24="","",'04 — Scenario comparison — Base'!B24),IF('07 — Cash projection — hypothet'!K10="","",'07 — Cash projection — hypothet'!K10))="",0,IF(IF(IF(ISERROR(DATE(2027,8,1)=DATE(YEAR('01 — Editable assumptions — USD'!B61),MONTH('01 — Editable assumptions — USD'!B61),1)),DATE(2027,8,1)=DATE(YEAR('01 — Editable assumptions — USD'!B61),MONTH('01 — Editable assumptions — USD'!B61),1),IF(DATE(YEAR('01 — Editable assumptions — USD'!B61),MONTH('01 — Editable assumptions — USD'!B61),1)="","",DATE(2027,8,1)=DATE(YEAR('01 — Editable assumptions — USD'!B61),MONTH('01 — Editable assumptions — USD'!B61),1)))="",FALSE,IF(ISERROR(DATE(2027,8,1)=DATE(YEAR('01 — Editable assumptions — USD'!B61),MONTH('01 — Editable assumptions — USD'!B61),1)),DATE(2027,8,1)=DATE(YEAR('01 — Editable assumptions — USD'!B61),MONTH('01 — Editable assumptions — USD'!B61),1),IF(DATE(YEAR('01 — Editable assumptions — USD'!B61),MONTH('01 — Editable assumptions — USD'!B61),1)="","",DATE(2027,8,1)=DATE(YEAR('01 — Editable assumptions — USD'!B61),MONTH('01 — Editable assumptions — USD'!B61),1)))),IF('04 — Scenario comparison — Base'!B24="","",'04 — Scenario comparison — Base'!B24),IF('07 — Cash projection — hypothet'!K10="","",'07 — Cash projection — hypothet'!K10)))+'07 — Cash projection — hypothet'!L8</f>
        <v>4822.48</v>
      </c>
      <c r="M10" s="9">
        <f>IF(IF(IF(IF(ISERROR(DATE(2027,9,1)=DATE(YEAR('01 — Editable assumptions — USD'!B61),MONTH('01 — Editable assumptions — USD'!B61),1)),DATE(2027,9,1)=DATE(YEAR('01 — Editable assumptions — USD'!B61),MONTH('01 — Editable assumptions — USD'!B61),1),IF(DATE(YEAR('01 — Editable assumptions — USD'!B61),MONTH('01 — Editable assumptions — USD'!B61),1)="","",DATE(2027,9,1)=DATE(YEAR('01 — Editable assumptions — USD'!B61),MONTH('01 — Editable assumptions — USD'!B61),1)))="",FALSE,IF(ISERROR(DATE(2027,9,1)=DATE(YEAR('01 — Editable assumptions — USD'!B61),MONTH('01 — Editable assumptions — USD'!B61),1)),DATE(2027,9,1)=DATE(YEAR('01 — Editable assumptions — USD'!B61),MONTH('01 — Editable assumptions — USD'!B61),1),IF(DATE(YEAR('01 — Editable assumptions — USD'!B61),MONTH('01 — Editable assumptions — USD'!B61),1)="","",DATE(2027,9,1)=DATE(YEAR('01 — Editable assumptions — USD'!B61),MONTH('01 — Editable assumptions — USD'!B61),1)))),IF('04 — Scenario comparison — Base'!B24="","",'04 — Scenario comparison — Base'!B24),IF('07 — Cash projection — hypothet'!L10="","",'07 — Cash projection — hypothet'!L10))="",0,IF(IF(IF(ISERROR(DATE(2027,9,1)=DATE(YEAR('01 — Editable assumptions — USD'!B61),MONTH('01 — Editable assumptions — USD'!B61),1)),DATE(2027,9,1)=DATE(YEAR('01 — Editable assumptions — USD'!B61),MONTH('01 — Editable assumptions — USD'!B61),1),IF(DATE(YEAR('01 — Editable assumptions — USD'!B61),MONTH('01 — Editable assumptions — USD'!B61),1)="","",DATE(2027,9,1)=DATE(YEAR('01 — Editable assumptions — USD'!B61),MONTH('01 — Editable assumptions — USD'!B61),1)))="",FALSE,IF(ISERROR(DATE(2027,9,1)=DATE(YEAR('01 — Editable assumptions — USD'!B61),MONTH('01 — Editable assumptions — USD'!B61),1)),DATE(2027,9,1)=DATE(YEAR('01 — Editable assumptions — USD'!B61),MONTH('01 — Editable assumptions — USD'!B61),1),IF(DATE(YEAR('01 — Editable assumptions — USD'!B61),MONTH('01 — Editable assumptions — USD'!B61),1)="","",DATE(2027,9,1)=DATE(YEAR('01 — Editable assumptions — USD'!B61),MONTH('01 — Editable assumptions — USD'!B61),1)))),IF('04 — Scenario comparison — Base'!B24="","",'04 — Scenario comparison — Base'!B24),IF('07 — Cash projection — hypothet'!L10="","",'07 — Cash projection — hypothet'!L10)))+'07 — Cash projection — hypothet'!M8</f>
        <v>5525.289999999999</v>
      </c>
      <c r="N10" s="9">
        <f>IF(IF(IF(IF(ISERROR(DATE(2027,10,1)=DATE(YEAR('01 — Editable assumptions — USD'!B61),MONTH('01 — Editable assumptions — USD'!B61),1)),DATE(2027,10,1)=DATE(YEAR('01 — Editable assumptions — USD'!B61),MONTH('01 — Editable assumptions — USD'!B61),1),IF(DATE(YEAR('01 — Editable assumptions — USD'!B61),MONTH('01 — Editable assumptions — USD'!B61),1)="","",DATE(2027,10,1)=DATE(YEAR('01 — Editable assumptions — USD'!B61),MONTH('01 — Editable assumptions — USD'!B61),1)))="",FALSE,IF(ISERROR(DATE(2027,10,1)=DATE(YEAR('01 — Editable assumptions — USD'!B61),MONTH('01 — Editable assumptions — USD'!B61),1)),DATE(2027,10,1)=DATE(YEAR('01 — Editable assumptions — USD'!B61),MONTH('01 — Editable assumptions — USD'!B61),1),IF(DATE(YEAR('01 — Editable assumptions — USD'!B61),MONTH('01 — Editable assumptions — USD'!B61),1)="","",DATE(2027,10,1)=DATE(YEAR('01 — Editable assumptions — USD'!B61),MONTH('01 — Editable assumptions — USD'!B61),1)))),IF('04 — Scenario comparison — Base'!B24="","",'04 — Scenario comparison — Base'!B24),IF('07 — Cash projection — hypothet'!M10="","",'07 — Cash projection — hypothet'!M10))="",0,IF(IF(IF(ISERROR(DATE(2027,10,1)=DATE(YEAR('01 — Editable assumptions — USD'!B61),MONTH('01 — Editable assumptions — USD'!B61),1)),DATE(2027,10,1)=DATE(YEAR('01 — Editable assumptions — USD'!B61),MONTH('01 — Editable assumptions — USD'!B61),1),IF(DATE(YEAR('01 — Editable assumptions — USD'!B61),MONTH('01 — Editable assumptions — USD'!B61),1)="","",DATE(2027,10,1)=DATE(YEAR('01 — Editable assumptions — USD'!B61),MONTH('01 — Editable assumptions — USD'!B61),1)))="",FALSE,IF(ISERROR(DATE(2027,10,1)=DATE(YEAR('01 — Editable assumptions — USD'!B61),MONTH('01 — Editable assumptions — USD'!B61),1)),DATE(2027,10,1)=DATE(YEAR('01 — Editable assumptions — USD'!B61),MONTH('01 — Editable assumptions — USD'!B61),1),IF(DATE(YEAR('01 — Editable assumptions — USD'!B61),MONTH('01 — Editable assumptions — USD'!B61),1)="","",DATE(2027,10,1)=DATE(YEAR('01 — Editable assumptions — USD'!B61),MONTH('01 — Editable assumptions — USD'!B61),1)))),IF('04 — Scenario comparison — Base'!B24="","",'04 — Scenario comparison — Base'!B24),IF('07 — Cash projection — hypothet'!M10="","",'07 — Cash projection — hypothet'!M10)))+'07 — Cash projection — hypothet'!N8</f>
        <v>6228.0999999999985</v>
      </c>
      <c r="O10" s="9">
        <f>IF(IF(IF(IF(ISERROR(DATE(2027,11,1)=DATE(YEAR('01 — Editable assumptions — USD'!B61),MONTH('01 — Editable assumptions — USD'!B61),1)),DATE(2027,11,1)=DATE(YEAR('01 — Editable assumptions — USD'!B61),MONTH('01 — Editable assumptions — USD'!B61),1),IF(DATE(YEAR('01 — Editable assumptions — USD'!B61),MONTH('01 — Editable assumptions — USD'!B61),1)="","",DATE(2027,11,1)=DATE(YEAR('01 — Editable assumptions — USD'!B61),MONTH('01 — Editable assumptions — USD'!B61),1)))="",FALSE,IF(ISERROR(DATE(2027,11,1)=DATE(YEAR('01 — Editable assumptions — USD'!B61),MONTH('01 — Editable assumptions — USD'!B61),1)),DATE(2027,11,1)=DATE(YEAR('01 — Editable assumptions — USD'!B61),MONTH('01 — Editable assumptions — USD'!B61),1),IF(DATE(YEAR('01 — Editable assumptions — USD'!B61),MONTH('01 — Editable assumptions — USD'!B61),1)="","",DATE(2027,11,1)=DATE(YEAR('01 — Editable assumptions — USD'!B61),MONTH('01 — Editable assumptions — USD'!B61),1)))),IF('04 — Scenario comparison — Base'!B24="","",'04 — Scenario comparison — Base'!B24),IF('07 — Cash projection — hypothet'!N10="","",'07 — Cash projection — hypothet'!N10))="",0,IF(IF(IF(ISERROR(DATE(2027,11,1)=DATE(YEAR('01 — Editable assumptions — USD'!B61),MONTH('01 — Editable assumptions — USD'!B61),1)),DATE(2027,11,1)=DATE(YEAR('01 — Editable assumptions — USD'!B61),MONTH('01 — Editable assumptions — USD'!B61),1),IF(DATE(YEAR('01 — Editable assumptions — USD'!B61),MONTH('01 — Editable assumptions — USD'!B61),1)="","",DATE(2027,11,1)=DATE(YEAR('01 — Editable assumptions — USD'!B61),MONTH('01 — Editable assumptions — USD'!B61),1)))="",FALSE,IF(ISERROR(DATE(2027,11,1)=DATE(YEAR('01 — Editable assumptions — USD'!B61),MONTH('01 — Editable assumptions — USD'!B61),1)),DATE(2027,11,1)=DATE(YEAR('01 — Editable assumptions — USD'!B61),MONTH('01 — Editable assumptions — USD'!B61),1),IF(DATE(YEAR('01 — Editable assumptions — USD'!B61),MONTH('01 — Editable assumptions — USD'!B61),1)="","",DATE(2027,11,1)=DATE(YEAR('01 — Editable assumptions — USD'!B61),MONTH('01 — Editable assumptions — USD'!B61),1)))),IF('04 — Scenario comparison — Base'!B24="","",'04 — Scenario comparison — Base'!B24),IF('07 — Cash projection — hypothet'!N10="","",'07 — Cash projection — hypothet'!N10)))+'07 — Cash projection — hypothet'!O8</f>
        <v>6930.909999999998</v>
      </c>
      <c r="P10" s="9">
        <f>IF(IF(IF(IF(ISERROR(DATE(2027,12,1)=DATE(YEAR('01 — Editable assumptions — USD'!B61),MONTH('01 — Editable assumptions — USD'!B61),1)),DATE(2027,12,1)=DATE(YEAR('01 — Editable assumptions — USD'!B61),MONTH('01 — Editable assumptions — USD'!B61),1),IF(DATE(YEAR('01 — Editable assumptions — USD'!B61),MONTH('01 — Editable assumptions — USD'!B61),1)="","",DATE(2027,12,1)=DATE(YEAR('01 — Editable assumptions — USD'!B61),MONTH('01 — Editable assumptions — USD'!B61),1)))="",FALSE,IF(ISERROR(DATE(2027,12,1)=DATE(YEAR('01 — Editable assumptions — USD'!B61),MONTH('01 — Editable assumptions — USD'!B61),1)),DATE(2027,12,1)=DATE(YEAR('01 — Editable assumptions — USD'!B61),MONTH('01 — Editable assumptions — USD'!B61),1),IF(DATE(YEAR('01 — Editable assumptions — USD'!B61),MONTH('01 — Editable assumptions — USD'!B61),1)="","",DATE(2027,12,1)=DATE(YEAR('01 — Editable assumptions — USD'!B61),MONTH('01 — Editable assumptions — USD'!B61),1)))),IF('04 — Scenario comparison — Base'!B24="","",'04 — Scenario comparison — Base'!B24),IF('07 — Cash projection — hypothet'!O10="","",'07 — Cash projection — hypothet'!O10))="",0,IF(IF(IF(ISERROR(DATE(2027,12,1)=DATE(YEAR('01 — Editable assumptions — USD'!B61),MONTH('01 — Editable assumptions — USD'!B61),1)),DATE(2027,12,1)=DATE(YEAR('01 — Editable assumptions — USD'!B61),MONTH('01 — Editable assumptions — USD'!B61),1),IF(DATE(YEAR('01 — Editable assumptions — USD'!B61),MONTH('01 — Editable assumptions — USD'!B61),1)="","",DATE(2027,12,1)=DATE(YEAR('01 — Editable assumptions — USD'!B61),MONTH('01 — Editable assumptions — USD'!B61),1)))="",FALSE,IF(ISERROR(DATE(2027,12,1)=DATE(YEAR('01 — Editable assumptions — USD'!B61),MONTH('01 — Editable assumptions — USD'!B61),1)),DATE(2027,12,1)=DATE(YEAR('01 — Editable assumptions — USD'!B61),MONTH('01 — Editable assumptions — USD'!B61),1),IF(DATE(YEAR('01 — Editable assumptions — USD'!B61),MONTH('01 — Editable assumptions — USD'!B61),1)="","",DATE(2027,12,1)=DATE(YEAR('01 — Editable assumptions — USD'!B61),MONTH('01 — Editable assumptions — USD'!B61),1)))),IF('04 — Scenario comparison — Base'!B24="","",'04 — Scenario comparison — Base'!B24),IF('07 — Cash projection — hypothet'!O10="","",'07 — Cash projection — hypothet'!O10)))+'07 — Cash projection — hypothet'!P8</f>
        <v>7633.7199999999975</v>
      </c>
    </row>
    <row r="11">
      <c r="A11" t="inlineStr" s="7">
        <is>
          <t xml:space="preserve">TS Projected cash founder</t>
        </is>
      </c>
      <c r="B11" s="9">
        <f>IF(IF(IF(IF(ISERROR(DATE(2026,10,1)=DATE(YEAR('01 — Editable assumptions — USD'!B61),MONTH('01 — Editable assumptions — USD'!B61),1)),DATE(2026,10,1)=DATE(YEAR('01 — Editable assumptions — USD'!B61),MONTH('01 — Editable assumptions — USD'!B61),1),IF(DATE(YEAR('01 — Editable assumptions — USD'!B61),MONTH('01 — Editable assumptions — USD'!B61),1)="","",DATE(2026,10,1)=DATE(YEAR('01 — Editable assumptions — USD'!B61),MONTH('01 — Editable assumptions — USD'!B61),1)))="",FALSE,IF(ISERROR(DATE(2026,10,1)=DATE(YEAR('01 — Editable assumptions — USD'!B61),MONTH('01 — Editable assumptions — USD'!B61),1)),DATE(2026,10,1)=DATE(YEAR('01 — Editable assumptions — USD'!B61),MONTH('01 — Editable assumptions — USD'!B61),1),IF(DATE(YEAR('01 — Editable assumptions — USD'!B61),MONTH('01 — Editable assumptions — USD'!B61),1)="","",DATE(2026,10,1)=DATE(YEAR('01 — Editable assumptions — USD'!B61),MONTH('01 — Editable assumptions — USD'!B61),1)))),IF('04 — Scenario comparison — Base'!B24="","",'04 — Scenario comparison — Base'!B24),IF('Model inputs'!D101="","",'Model inputs'!D101))="",0,IF(IF(IF(ISERROR(DATE(2026,10,1)=DATE(YEAR('01 — Editable assumptions — USD'!B61),MONTH('01 — Editable assumptions — USD'!B61),1)),DATE(2026,10,1)=DATE(YEAR('01 — Editable assumptions — USD'!B61),MONTH('01 — Editable assumptions — USD'!B61),1),IF(DATE(YEAR('01 — Editable assumptions — USD'!B61),MONTH('01 — Editable assumptions — USD'!B61),1)="","",DATE(2026,10,1)=DATE(YEAR('01 — Editable assumptions — USD'!B61),MONTH('01 — Editable assumptions — USD'!B61),1)))="",FALSE,IF(ISERROR(DATE(2026,10,1)=DATE(YEAR('01 — Editable assumptions — USD'!B61),MONTH('01 — Editable assumptions — USD'!B61),1)),DATE(2026,10,1)=DATE(YEAR('01 — Editable assumptions — USD'!B61),MONTH('01 — Editable assumptions — USD'!B61),1),IF(DATE(YEAR('01 — Editable assumptions — USD'!B61),MONTH('01 — Editable assumptions — USD'!B61),1)="","",DATE(2026,10,1)=DATE(YEAR('01 — Editable assumptions — USD'!B61),MONTH('01 — Editable assumptions — USD'!B61),1)))),IF('04 — Scenario comparison — Base'!B24="","",'04 — Scenario comparison — Base'!B24),IF('Model inputs'!D101="","",'Model inputs'!D101)))+'07 — Cash projection — hypothet'!B9</f>
        <v>-2600</v>
      </c>
      <c r="C11" s="9">
        <f>IF(IF(IF(IF(ISERROR(DATE(2026,11,1)=DATE(YEAR('01 — Editable assumptions — USD'!B61),MONTH('01 — Editable assumptions — USD'!B61),1)),DATE(2026,11,1)=DATE(YEAR('01 — Editable assumptions — USD'!B61),MONTH('01 — Editable assumptions — USD'!B61),1),IF(DATE(YEAR('01 — Editable assumptions — USD'!B61),MONTH('01 — Editable assumptions — USD'!B61),1)="","",DATE(2026,11,1)=DATE(YEAR('01 — Editable assumptions — USD'!B61),MONTH('01 — Editable assumptions — USD'!B61),1)))="",FALSE,IF(ISERROR(DATE(2026,11,1)=DATE(YEAR('01 — Editable assumptions — USD'!B61),MONTH('01 — Editable assumptions — USD'!B61),1)),DATE(2026,11,1)=DATE(YEAR('01 — Editable assumptions — USD'!B61),MONTH('01 — Editable assumptions — USD'!B61),1),IF(DATE(YEAR('01 — Editable assumptions — USD'!B61),MONTH('01 — Editable assumptions — USD'!B61),1)="","",DATE(2026,11,1)=DATE(YEAR('01 — Editable assumptions — USD'!B61),MONTH('01 — Editable assumptions — USD'!B61),1)))),IF('04 — Scenario comparison — Base'!B24="","",'04 — Scenario comparison — Base'!B24),IF('07 — Cash projection — hypothet'!B11="","",'07 — Cash projection — hypothet'!B11))="",0,IF(IF(IF(ISERROR(DATE(2026,11,1)=DATE(YEAR('01 — Editable assumptions — USD'!B61),MONTH('01 — Editable assumptions — USD'!B61),1)),DATE(2026,11,1)=DATE(YEAR('01 — Editable assumptions — USD'!B61),MONTH('01 — Editable assumptions — USD'!B61),1),IF(DATE(YEAR('01 — Editable assumptions — USD'!B61),MONTH('01 — Editable assumptions — USD'!B61),1)="","",DATE(2026,11,1)=DATE(YEAR('01 — Editable assumptions — USD'!B61),MONTH('01 — Editable assumptions — USD'!B61),1)))="",FALSE,IF(ISERROR(DATE(2026,11,1)=DATE(YEAR('01 — Editable assumptions — USD'!B61),MONTH('01 — Editable assumptions — USD'!B61),1)),DATE(2026,11,1)=DATE(YEAR('01 — Editable assumptions — USD'!B61),MONTH('01 — Editable assumptions — USD'!B61),1),IF(DATE(YEAR('01 — Editable assumptions — USD'!B61),MONTH('01 — Editable assumptions — USD'!B61),1)="","",DATE(2026,11,1)=DATE(YEAR('01 — Editable assumptions — USD'!B61),MONTH('01 — Editable assumptions — USD'!B61),1)))),IF('04 — Scenario comparison — Base'!B24="","",'04 — Scenario comparison — Base'!B24),IF('07 — Cash projection — hypothet'!B11="","",'07 — Cash projection — hypothet'!B11)))+'07 — Cash projection — hypothet'!C9</f>
        <v>-6200</v>
      </c>
      <c r="D11" s="9">
        <f>IF(IF(IF(IF(ISERROR(DATE(2026,12,1)=DATE(YEAR('01 — Editable assumptions — USD'!B61),MONTH('01 — Editable assumptions — USD'!B61),1)),DATE(2026,12,1)=DATE(YEAR('01 — Editable assumptions — USD'!B61),MONTH('01 — Editable assumptions — USD'!B61),1),IF(DATE(YEAR('01 — Editable assumptions — USD'!B61),MONTH('01 — Editable assumptions — USD'!B61),1)="","",DATE(2026,12,1)=DATE(YEAR('01 — Editable assumptions — USD'!B61),MONTH('01 — Editable assumptions — USD'!B61),1)))="",FALSE,IF(ISERROR(DATE(2026,12,1)=DATE(YEAR('01 — Editable assumptions — USD'!B61),MONTH('01 — Editable assumptions — USD'!B61),1)),DATE(2026,12,1)=DATE(YEAR('01 — Editable assumptions — USD'!B61),MONTH('01 — Editable assumptions — USD'!B61),1),IF(DATE(YEAR('01 — Editable assumptions — USD'!B61),MONTH('01 — Editable assumptions — USD'!B61),1)="","",DATE(2026,12,1)=DATE(YEAR('01 — Editable assumptions — USD'!B61),MONTH('01 — Editable assumptions — USD'!B61),1)))),IF('04 — Scenario comparison — Base'!B24="","",'04 — Scenario comparison — Base'!B24),IF('07 — Cash projection — hypothet'!C11="","",'07 — Cash projection — hypothet'!C11))="",0,IF(IF(IF(ISERROR(DATE(2026,12,1)=DATE(YEAR('01 — Editable assumptions — USD'!B61),MONTH('01 — Editable assumptions — USD'!B61),1)),DATE(2026,12,1)=DATE(YEAR('01 — Editable assumptions — USD'!B61),MONTH('01 — Editable assumptions — USD'!B61),1),IF(DATE(YEAR('01 — Editable assumptions — USD'!B61),MONTH('01 — Editable assumptions — USD'!B61),1)="","",DATE(2026,12,1)=DATE(YEAR('01 — Editable assumptions — USD'!B61),MONTH('01 — Editable assumptions — USD'!B61),1)))="",FALSE,IF(ISERROR(DATE(2026,12,1)=DATE(YEAR('01 — Editable assumptions — USD'!B61),MONTH('01 — Editable assumptions — USD'!B61),1)),DATE(2026,12,1)=DATE(YEAR('01 — Editable assumptions — USD'!B61),MONTH('01 — Editable assumptions — USD'!B61),1),IF(DATE(YEAR('01 — Editable assumptions — USD'!B61),MONTH('01 — Editable assumptions — USD'!B61),1)="","",DATE(2026,12,1)=DATE(YEAR('01 — Editable assumptions — USD'!B61),MONTH('01 — Editable assumptions — USD'!B61),1)))),IF('04 — Scenario comparison — Base'!B24="","",'04 — Scenario comparison — Base'!B24),IF('07 — Cash projection — hypothet'!C11="","",'07 — Cash projection — hypothet'!C11)))+'07 — Cash projection — hypothet'!D9</f>
        <v>-9800</v>
      </c>
      <c r="E11" s="9">
        <f>IF(IF(IF(IF(ISERROR(DATE(2027,1,1)=DATE(YEAR('01 — Editable assumptions — USD'!B61),MONTH('01 — Editable assumptions — USD'!B61),1)),DATE(2027,1,1)=DATE(YEAR('01 — Editable assumptions — USD'!B61),MONTH('01 — Editable assumptions — USD'!B61),1),IF(DATE(YEAR('01 — Editable assumptions — USD'!B61),MONTH('01 — Editable assumptions — USD'!B61),1)="","",DATE(2027,1,1)=DATE(YEAR('01 — Editable assumptions — USD'!B61),MONTH('01 — Editable assumptions — USD'!B61),1)))="",FALSE,IF(ISERROR(DATE(2027,1,1)=DATE(YEAR('01 — Editable assumptions — USD'!B61),MONTH('01 — Editable assumptions — USD'!B61),1)),DATE(2027,1,1)=DATE(YEAR('01 — Editable assumptions — USD'!B61),MONTH('01 — Editable assumptions — USD'!B61),1),IF(DATE(YEAR('01 — Editable assumptions — USD'!B61),MONTH('01 — Editable assumptions — USD'!B61),1)="","",DATE(2027,1,1)=DATE(YEAR('01 — Editable assumptions — USD'!B61),MONTH('01 — Editable assumptions — USD'!B61),1)))),IF('04 — Scenario comparison — Base'!B24="","",'04 — Scenario comparison — Base'!B24),IF('07 — Cash projection — hypothet'!D11="","",'07 — Cash projection — hypothet'!D11))="",0,IF(IF(IF(ISERROR(DATE(2027,1,1)=DATE(YEAR('01 — Editable assumptions — USD'!B61),MONTH('01 — Editable assumptions — USD'!B61),1)),DATE(2027,1,1)=DATE(YEAR('01 — Editable assumptions — USD'!B61),MONTH('01 — Editable assumptions — USD'!B61),1),IF(DATE(YEAR('01 — Editable assumptions — USD'!B61),MONTH('01 — Editable assumptions — USD'!B61),1)="","",DATE(2027,1,1)=DATE(YEAR('01 — Editable assumptions — USD'!B61),MONTH('01 — Editable assumptions — USD'!B61),1)))="",FALSE,IF(ISERROR(DATE(2027,1,1)=DATE(YEAR('01 — Editable assumptions — USD'!B61),MONTH('01 — Editable assumptions — USD'!B61),1)),DATE(2027,1,1)=DATE(YEAR('01 — Editable assumptions — USD'!B61),MONTH('01 — Editable assumptions — USD'!B61),1),IF(DATE(YEAR('01 — Editable assumptions — USD'!B61),MONTH('01 — Editable assumptions — USD'!B61),1)="","",DATE(2027,1,1)=DATE(YEAR('01 — Editable assumptions — USD'!B61),MONTH('01 — Editable assumptions — USD'!B61),1)))),IF('04 — Scenario comparison — Base'!B24="","",'04 — Scenario comparison — Base'!B24),IF('07 — Cash projection — hypothet'!D11="","",'07 — Cash projection — hypothet'!D11)))+'07 — Cash projection — hypothet'!E9</f>
        <v>-12097.19</v>
      </c>
      <c r="F11" s="9">
        <f>IF(IF(IF(IF(ISERROR(DATE(2027,2,1)=DATE(YEAR('01 — Editable assumptions — USD'!B61),MONTH('01 — Editable assumptions — USD'!B61),1)),DATE(2027,2,1)=DATE(YEAR('01 — Editable assumptions — USD'!B61),MONTH('01 — Editable assumptions — USD'!B61),1),IF(DATE(YEAR('01 — Editable assumptions — USD'!B61),MONTH('01 — Editable assumptions — USD'!B61),1)="","",DATE(2027,2,1)=DATE(YEAR('01 — Editable assumptions — USD'!B61),MONTH('01 — Editable assumptions — USD'!B61),1)))="",FALSE,IF(ISERROR(DATE(2027,2,1)=DATE(YEAR('01 — Editable assumptions — USD'!B61),MONTH('01 — Editable assumptions — USD'!B61),1)),DATE(2027,2,1)=DATE(YEAR('01 — Editable assumptions — USD'!B61),MONTH('01 — Editable assumptions — USD'!B61),1),IF(DATE(YEAR('01 — Editable assumptions — USD'!B61),MONTH('01 — Editable assumptions — USD'!B61),1)="","",DATE(2027,2,1)=DATE(YEAR('01 — Editable assumptions — USD'!B61),MONTH('01 — Editable assumptions — USD'!B61),1)))),IF('04 — Scenario comparison — Base'!B24="","",'04 — Scenario comparison — Base'!B24),IF('07 — Cash projection — hypothet'!E11="","",'07 — Cash projection — hypothet'!E11))="",0,IF(IF(IF(ISERROR(DATE(2027,2,1)=DATE(YEAR('01 — Editable assumptions — USD'!B61),MONTH('01 — Editable assumptions — USD'!B61),1)),DATE(2027,2,1)=DATE(YEAR('01 — Editable assumptions — USD'!B61),MONTH('01 — Editable assumptions — USD'!B61),1),IF(DATE(YEAR('01 — Editable assumptions — USD'!B61),MONTH('01 — Editable assumptions — USD'!B61),1)="","",DATE(2027,2,1)=DATE(YEAR('01 — Editable assumptions — USD'!B61),MONTH('01 — Editable assumptions — USD'!B61),1)))="",FALSE,IF(ISERROR(DATE(2027,2,1)=DATE(YEAR('01 — Editable assumptions — USD'!B61),MONTH('01 — Editable assumptions — USD'!B61),1)),DATE(2027,2,1)=DATE(YEAR('01 — Editable assumptions — USD'!B61),MONTH('01 — Editable assumptions — USD'!B61),1),IF(DATE(YEAR('01 — Editable assumptions — USD'!B61),MONTH('01 — Editable assumptions — USD'!B61),1)="","",DATE(2027,2,1)=DATE(YEAR('01 — Editable assumptions — USD'!B61),MONTH('01 — Editable assumptions — USD'!B61),1)))),IF('04 — Scenario comparison — Base'!B24="","",'04 — Scenario comparison — Base'!B24),IF('07 — Cash projection — hypothet'!E11="","",'07 — Cash projection — hypothet'!E11)))+'07 — Cash projection — hypothet'!F9</f>
        <v>-14394.380000000001</v>
      </c>
      <c r="G11" s="9">
        <f>IF(IF(IF(IF(ISERROR(DATE(2027,3,1)=DATE(YEAR('01 — Editable assumptions — USD'!B61),MONTH('01 — Editable assumptions — USD'!B61),1)),DATE(2027,3,1)=DATE(YEAR('01 — Editable assumptions — USD'!B61),MONTH('01 — Editable assumptions — USD'!B61),1),IF(DATE(YEAR('01 — Editable assumptions — USD'!B61),MONTH('01 — Editable assumptions — USD'!B61),1)="","",DATE(2027,3,1)=DATE(YEAR('01 — Editable assumptions — USD'!B61),MONTH('01 — Editable assumptions — USD'!B61),1)))="",FALSE,IF(ISERROR(DATE(2027,3,1)=DATE(YEAR('01 — Editable assumptions — USD'!B61),MONTH('01 — Editable assumptions — USD'!B61),1)),DATE(2027,3,1)=DATE(YEAR('01 — Editable assumptions — USD'!B61),MONTH('01 — Editable assumptions — USD'!B61),1),IF(DATE(YEAR('01 — Editable assumptions — USD'!B61),MONTH('01 — Editable assumptions — USD'!B61),1)="","",DATE(2027,3,1)=DATE(YEAR('01 — Editable assumptions — USD'!B61),MONTH('01 — Editable assumptions — USD'!B61),1)))),IF('04 — Scenario comparison — Base'!B24="","",'04 — Scenario comparison — Base'!B24),IF('07 — Cash projection — hypothet'!F11="","",'07 — Cash projection — hypothet'!F11))="",0,IF(IF(IF(ISERROR(DATE(2027,3,1)=DATE(YEAR('01 — Editable assumptions — USD'!B61),MONTH('01 — Editable assumptions — USD'!B61),1)),DATE(2027,3,1)=DATE(YEAR('01 — Editable assumptions — USD'!B61),MONTH('01 — Editable assumptions — USD'!B61),1),IF(DATE(YEAR('01 — Editable assumptions — USD'!B61),MONTH('01 — Editable assumptions — USD'!B61),1)="","",DATE(2027,3,1)=DATE(YEAR('01 — Editable assumptions — USD'!B61),MONTH('01 — Editable assumptions — USD'!B61),1)))="",FALSE,IF(ISERROR(DATE(2027,3,1)=DATE(YEAR('01 — Editable assumptions — USD'!B61),MONTH('01 — Editable assumptions — USD'!B61),1)),DATE(2027,3,1)=DATE(YEAR('01 — Editable assumptions — USD'!B61),MONTH('01 — Editable assumptions — USD'!B61),1),IF(DATE(YEAR('01 — Editable assumptions — USD'!B61),MONTH('01 — Editable assumptions — USD'!B61),1)="","",DATE(2027,3,1)=DATE(YEAR('01 — Editable assumptions — USD'!B61),MONTH('01 — Editable assumptions — USD'!B61),1)))),IF('04 — Scenario comparison — Base'!B24="","",'04 — Scenario comparison — Base'!B24),IF('07 — Cash projection — hypothet'!F11="","",'07 — Cash projection — hypothet'!F11)))+'07 — Cash projection — hypothet'!G9</f>
        <v>-16691.57</v>
      </c>
      <c r="H11" s="9">
        <f>IF(IF(IF(IF(ISERROR(DATE(2027,4,1)=DATE(YEAR('01 — Editable assumptions — USD'!B61),MONTH('01 — Editable assumptions — USD'!B61),1)),DATE(2027,4,1)=DATE(YEAR('01 — Editable assumptions — USD'!B61),MONTH('01 — Editable assumptions — USD'!B61),1),IF(DATE(YEAR('01 — Editable assumptions — USD'!B61),MONTH('01 — Editable assumptions — USD'!B61),1)="","",DATE(2027,4,1)=DATE(YEAR('01 — Editable assumptions — USD'!B61),MONTH('01 — Editable assumptions — USD'!B61),1)))="",FALSE,IF(ISERROR(DATE(2027,4,1)=DATE(YEAR('01 — Editable assumptions — USD'!B61),MONTH('01 — Editable assumptions — USD'!B61),1)),DATE(2027,4,1)=DATE(YEAR('01 — Editable assumptions — USD'!B61),MONTH('01 — Editable assumptions — USD'!B61),1),IF(DATE(YEAR('01 — Editable assumptions — USD'!B61),MONTH('01 — Editable assumptions — USD'!B61),1)="","",DATE(2027,4,1)=DATE(YEAR('01 — Editable assumptions — USD'!B61),MONTH('01 — Editable assumptions — USD'!B61),1)))),IF('04 — Scenario comparison — Base'!B24="","",'04 — Scenario comparison — Base'!B24),IF('07 — Cash projection — hypothet'!G11="","",'07 — Cash projection — hypothet'!G11))="",0,IF(IF(IF(ISERROR(DATE(2027,4,1)=DATE(YEAR('01 — Editable assumptions — USD'!B61),MONTH('01 — Editable assumptions — USD'!B61),1)),DATE(2027,4,1)=DATE(YEAR('01 — Editable assumptions — USD'!B61),MONTH('01 — Editable assumptions — USD'!B61),1),IF(DATE(YEAR('01 — Editable assumptions — USD'!B61),MONTH('01 — Editable assumptions — USD'!B61),1)="","",DATE(2027,4,1)=DATE(YEAR('01 — Editable assumptions — USD'!B61),MONTH('01 — Editable assumptions — USD'!B61),1)))="",FALSE,IF(ISERROR(DATE(2027,4,1)=DATE(YEAR('01 — Editable assumptions — USD'!B61),MONTH('01 — Editable assumptions — USD'!B61),1)),DATE(2027,4,1)=DATE(YEAR('01 — Editable assumptions — USD'!B61),MONTH('01 — Editable assumptions — USD'!B61),1),IF(DATE(YEAR('01 — Editable assumptions — USD'!B61),MONTH('01 — Editable assumptions — USD'!B61),1)="","",DATE(2027,4,1)=DATE(YEAR('01 — Editable assumptions — USD'!B61),MONTH('01 — Editable assumptions — USD'!B61),1)))),IF('04 — Scenario comparison — Base'!B24="","",'04 — Scenario comparison — Base'!B24),IF('07 — Cash projection — hypothet'!G11="","",'07 — Cash projection — hypothet'!G11)))+'07 — Cash projection — hypothet'!H9</f>
        <v>-18988.76</v>
      </c>
      <c r="I11" s="9">
        <f>IF(IF(IF(IF(ISERROR(DATE(2027,5,1)=DATE(YEAR('01 — Editable assumptions — USD'!B61),MONTH('01 — Editable assumptions — USD'!B61),1)),DATE(2027,5,1)=DATE(YEAR('01 — Editable assumptions — USD'!B61),MONTH('01 — Editable assumptions — USD'!B61),1),IF(DATE(YEAR('01 — Editable assumptions — USD'!B61),MONTH('01 — Editable assumptions — USD'!B61),1)="","",DATE(2027,5,1)=DATE(YEAR('01 — Editable assumptions — USD'!B61),MONTH('01 — Editable assumptions — USD'!B61),1)))="",FALSE,IF(ISERROR(DATE(2027,5,1)=DATE(YEAR('01 — Editable assumptions — USD'!B61),MONTH('01 — Editable assumptions — USD'!B61),1)),DATE(2027,5,1)=DATE(YEAR('01 — Editable assumptions — USD'!B61),MONTH('01 — Editable assumptions — USD'!B61),1),IF(DATE(YEAR('01 — Editable assumptions — USD'!B61),MONTH('01 — Editable assumptions — USD'!B61),1)="","",DATE(2027,5,1)=DATE(YEAR('01 — Editable assumptions — USD'!B61),MONTH('01 — Editable assumptions — USD'!B61),1)))),IF('04 — Scenario comparison — Base'!B24="","",'04 — Scenario comparison — Base'!B24),IF('07 — Cash projection — hypothet'!H11="","",'07 — Cash projection — hypothet'!H11))="",0,IF(IF(IF(ISERROR(DATE(2027,5,1)=DATE(YEAR('01 — Editable assumptions — USD'!B61),MONTH('01 — Editable assumptions — USD'!B61),1)),DATE(2027,5,1)=DATE(YEAR('01 — Editable assumptions — USD'!B61),MONTH('01 — Editable assumptions — USD'!B61),1),IF(DATE(YEAR('01 — Editable assumptions — USD'!B61),MONTH('01 — Editable assumptions — USD'!B61),1)="","",DATE(2027,5,1)=DATE(YEAR('01 — Editable assumptions — USD'!B61),MONTH('01 — Editable assumptions — USD'!B61),1)))="",FALSE,IF(ISERROR(DATE(2027,5,1)=DATE(YEAR('01 — Editable assumptions — USD'!B61),MONTH('01 — Editable assumptions — USD'!B61),1)),DATE(2027,5,1)=DATE(YEAR('01 — Editable assumptions — USD'!B61),MONTH('01 — Editable assumptions — USD'!B61),1),IF(DATE(YEAR('01 — Editable assumptions — USD'!B61),MONTH('01 — Editable assumptions — USD'!B61),1)="","",DATE(2027,5,1)=DATE(YEAR('01 — Editable assumptions — USD'!B61),MONTH('01 — Editable assumptions — USD'!B61),1)))),IF('04 — Scenario comparison — Base'!B24="","",'04 — Scenario comparison — Base'!B24),IF('07 — Cash projection — hypothet'!H11="","",'07 — Cash projection — hypothet'!H11)))+'07 — Cash projection — hypothet'!I9</f>
        <v>-21285.949999999997</v>
      </c>
      <c r="J11" s="9">
        <f>IF(IF(IF(IF(ISERROR(DATE(2027,6,1)=DATE(YEAR('01 — Editable assumptions — USD'!B61),MONTH('01 — Editable assumptions — USD'!B61),1)),DATE(2027,6,1)=DATE(YEAR('01 — Editable assumptions — USD'!B61),MONTH('01 — Editable assumptions — USD'!B61),1),IF(DATE(YEAR('01 — Editable assumptions — USD'!B61),MONTH('01 — Editable assumptions — USD'!B61),1)="","",DATE(2027,6,1)=DATE(YEAR('01 — Editable assumptions — USD'!B61),MONTH('01 — Editable assumptions — USD'!B61),1)))="",FALSE,IF(ISERROR(DATE(2027,6,1)=DATE(YEAR('01 — Editable assumptions — USD'!B61),MONTH('01 — Editable assumptions — USD'!B61),1)),DATE(2027,6,1)=DATE(YEAR('01 — Editable assumptions — USD'!B61),MONTH('01 — Editable assumptions — USD'!B61),1),IF(DATE(YEAR('01 — Editable assumptions — USD'!B61),MONTH('01 — Editable assumptions — USD'!B61),1)="","",DATE(2027,6,1)=DATE(YEAR('01 — Editable assumptions — USD'!B61),MONTH('01 — Editable assumptions — USD'!B61),1)))),IF('04 — Scenario comparison — Base'!B24="","",'04 — Scenario comparison — Base'!B24),IF('07 — Cash projection — hypothet'!I11="","",'07 — Cash projection — hypothet'!I11))="",0,IF(IF(IF(ISERROR(DATE(2027,6,1)=DATE(YEAR('01 — Editable assumptions — USD'!B61),MONTH('01 — Editable assumptions — USD'!B61),1)),DATE(2027,6,1)=DATE(YEAR('01 — Editable assumptions — USD'!B61),MONTH('01 — Editable assumptions — USD'!B61),1),IF(DATE(YEAR('01 — Editable assumptions — USD'!B61),MONTH('01 — Editable assumptions — USD'!B61),1)="","",DATE(2027,6,1)=DATE(YEAR('01 — Editable assumptions — USD'!B61),MONTH('01 — Editable assumptions — USD'!B61),1)))="",FALSE,IF(ISERROR(DATE(2027,6,1)=DATE(YEAR('01 — Editable assumptions — USD'!B61),MONTH('01 — Editable assumptions — USD'!B61),1)),DATE(2027,6,1)=DATE(YEAR('01 — Editable assumptions — USD'!B61),MONTH('01 — Editable assumptions — USD'!B61),1),IF(DATE(YEAR('01 — Editable assumptions — USD'!B61),MONTH('01 — Editable assumptions — USD'!B61),1)="","",DATE(2027,6,1)=DATE(YEAR('01 — Editable assumptions — USD'!B61),MONTH('01 — Editable assumptions — USD'!B61),1)))),IF('04 — Scenario comparison — Base'!B24="","",'04 — Scenario comparison — Base'!B24),IF('07 — Cash projection — hypothet'!I11="","",'07 — Cash projection — hypothet'!I11)))+'07 — Cash projection — hypothet'!J9</f>
        <v>-23583.139999999996</v>
      </c>
      <c r="K11" s="9">
        <f>IF(IF(IF(IF(ISERROR(DATE(2027,7,1)=DATE(YEAR('01 — Editable assumptions — USD'!B61),MONTH('01 — Editable assumptions — USD'!B61),1)),DATE(2027,7,1)=DATE(YEAR('01 — Editable assumptions — USD'!B61),MONTH('01 — Editable assumptions — USD'!B61),1),IF(DATE(YEAR('01 — Editable assumptions — USD'!B61),MONTH('01 — Editable assumptions — USD'!B61),1)="","",DATE(2027,7,1)=DATE(YEAR('01 — Editable assumptions — USD'!B61),MONTH('01 — Editable assumptions — USD'!B61),1)))="",FALSE,IF(ISERROR(DATE(2027,7,1)=DATE(YEAR('01 — Editable assumptions — USD'!B61),MONTH('01 — Editable assumptions — USD'!B61),1)),DATE(2027,7,1)=DATE(YEAR('01 — Editable assumptions — USD'!B61),MONTH('01 — Editable assumptions — USD'!B61),1),IF(DATE(YEAR('01 — Editable assumptions — USD'!B61),MONTH('01 — Editable assumptions — USD'!B61),1)="","",DATE(2027,7,1)=DATE(YEAR('01 — Editable assumptions — USD'!B61),MONTH('01 — Editable assumptions — USD'!B61),1)))),IF('04 — Scenario comparison — Base'!B24="","",'04 — Scenario comparison — Base'!B24),IF('07 — Cash projection — hypothet'!J11="","",'07 — Cash projection — hypothet'!J11))="",0,IF(IF(IF(ISERROR(DATE(2027,7,1)=DATE(YEAR('01 — Editable assumptions — USD'!B61),MONTH('01 — Editable assumptions — USD'!B61),1)),DATE(2027,7,1)=DATE(YEAR('01 — Editable assumptions — USD'!B61),MONTH('01 — Editable assumptions — USD'!B61),1),IF(DATE(YEAR('01 — Editable assumptions — USD'!B61),MONTH('01 — Editable assumptions — USD'!B61),1)="","",DATE(2027,7,1)=DATE(YEAR('01 — Editable assumptions — USD'!B61),MONTH('01 — Editable assumptions — USD'!B61),1)))="",FALSE,IF(ISERROR(DATE(2027,7,1)=DATE(YEAR('01 — Editable assumptions — USD'!B61),MONTH('01 — Editable assumptions — USD'!B61),1)),DATE(2027,7,1)=DATE(YEAR('01 — Editable assumptions — USD'!B61),MONTH('01 — Editable assumptions — USD'!B61),1),IF(DATE(YEAR('01 — Editable assumptions — USD'!B61),MONTH('01 — Editable assumptions — USD'!B61),1)="","",DATE(2027,7,1)=DATE(YEAR('01 — Editable assumptions — USD'!B61),MONTH('01 — Editable assumptions — USD'!B61),1)))),IF('04 — Scenario comparison — Base'!B24="","",'04 — Scenario comparison — Base'!B24),IF('07 — Cash projection — hypothet'!J11="","",'07 — Cash projection — hypothet'!J11)))+'07 — Cash projection — hypothet'!K9</f>
        <v>-25880.329999999994</v>
      </c>
      <c r="L11" s="9">
        <f>IF(IF(IF(IF(ISERROR(DATE(2027,8,1)=DATE(YEAR('01 — Editable assumptions — USD'!B61),MONTH('01 — Editable assumptions — USD'!B61),1)),DATE(2027,8,1)=DATE(YEAR('01 — Editable assumptions — USD'!B61),MONTH('01 — Editable assumptions — USD'!B61),1),IF(DATE(YEAR('01 — Editable assumptions — USD'!B61),MONTH('01 — Editable assumptions — USD'!B61),1)="","",DATE(2027,8,1)=DATE(YEAR('01 — Editable assumptions — USD'!B61),MONTH('01 — Editable assumptions — USD'!B61),1)))="",FALSE,IF(ISERROR(DATE(2027,8,1)=DATE(YEAR('01 — Editable assumptions — USD'!B61),MONTH('01 — Editable assumptions — USD'!B61),1)),DATE(2027,8,1)=DATE(YEAR('01 — Editable assumptions — USD'!B61),MONTH('01 — Editable assumptions — USD'!B61),1),IF(DATE(YEAR('01 — Editable assumptions — USD'!B61),MONTH('01 — Editable assumptions — USD'!B61),1)="","",DATE(2027,8,1)=DATE(YEAR('01 — Editable assumptions — USD'!B61),MONTH('01 — Editable assumptions — USD'!B61),1)))),IF('04 — Scenario comparison — Base'!B24="","",'04 — Scenario comparison — Base'!B24),IF('07 — Cash projection — hypothet'!K11="","",'07 — Cash projection — hypothet'!K11))="",0,IF(IF(IF(ISERROR(DATE(2027,8,1)=DATE(YEAR('01 — Editable assumptions — USD'!B61),MONTH('01 — Editable assumptions — USD'!B61),1)),DATE(2027,8,1)=DATE(YEAR('01 — Editable assumptions — USD'!B61),MONTH('01 — Editable assumptions — USD'!B61),1),IF(DATE(YEAR('01 — Editable assumptions — USD'!B61),MONTH('01 — Editable assumptions — USD'!B61),1)="","",DATE(2027,8,1)=DATE(YEAR('01 — Editable assumptions — USD'!B61),MONTH('01 — Editable assumptions — USD'!B61),1)))="",FALSE,IF(ISERROR(DATE(2027,8,1)=DATE(YEAR('01 — Editable assumptions — USD'!B61),MONTH('01 — Editable assumptions — USD'!B61),1)),DATE(2027,8,1)=DATE(YEAR('01 — Editable assumptions — USD'!B61),MONTH('01 — Editable assumptions — USD'!B61),1),IF(DATE(YEAR('01 — Editable assumptions — USD'!B61),MONTH('01 — Editable assumptions — USD'!B61),1)="","",DATE(2027,8,1)=DATE(YEAR('01 — Editable assumptions — USD'!B61),MONTH('01 — Editable assumptions — USD'!B61),1)))),IF('04 — Scenario comparison — Base'!B24="","",'04 — Scenario comparison — Base'!B24),IF('07 — Cash projection — hypothet'!K11="","",'07 — Cash projection — hypothet'!K11)))+'07 — Cash projection — hypothet'!L9</f>
        <v>-28177.519999999993</v>
      </c>
      <c r="M11" s="9">
        <f>IF(IF(IF(IF(ISERROR(DATE(2027,9,1)=DATE(YEAR('01 — Editable assumptions — USD'!B61),MONTH('01 — Editable assumptions — USD'!B61),1)),DATE(2027,9,1)=DATE(YEAR('01 — Editable assumptions — USD'!B61),MONTH('01 — Editable assumptions — USD'!B61),1),IF(DATE(YEAR('01 — Editable assumptions — USD'!B61),MONTH('01 — Editable assumptions — USD'!B61),1)="","",DATE(2027,9,1)=DATE(YEAR('01 — Editable assumptions — USD'!B61),MONTH('01 — Editable assumptions — USD'!B61),1)))="",FALSE,IF(ISERROR(DATE(2027,9,1)=DATE(YEAR('01 — Editable assumptions — USD'!B61),MONTH('01 — Editable assumptions — USD'!B61),1)),DATE(2027,9,1)=DATE(YEAR('01 — Editable assumptions — USD'!B61),MONTH('01 — Editable assumptions — USD'!B61),1),IF(DATE(YEAR('01 — Editable assumptions — USD'!B61),MONTH('01 — Editable assumptions — USD'!B61),1)="","",DATE(2027,9,1)=DATE(YEAR('01 — Editable assumptions — USD'!B61),MONTH('01 — Editable assumptions — USD'!B61),1)))),IF('04 — Scenario comparison — Base'!B24="","",'04 — Scenario comparison — Base'!B24),IF('07 — Cash projection — hypothet'!L11="","",'07 — Cash projection — hypothet'!L11))="",0,IF(IF(IF(ISERROR(DATE(2027,9,1)=DATE(YEAR('01 — Editable assumptions — USD'!B61),MONTH('01 — Editable assumptions — USD'!B61),1)),DATE(2027,9,1)=DATE(YEAR('01 — Editable assumptions — USD'!B61),MONTH('01 — Editable assumptions — USD'!B61),1),IF(DATE(YEAR('01 — Editable assumptions — USD'!B61),MONTH('01 — Editable assumptions — USD'!B61),1)="","",DATE(2027,9,1)=DATE(YEAR('01 — Editable assumptions — USD'!B61),MONTH('01 — Editable assumptions — USD'!B61),1)))="",FALSE,IF(ISERROR(DATE(2027,9,1)=DATE(YEAR('01 — Editable assumptions — USD'!B61),MONTH('01 — Editable assumptions — USD'!B61),1)),DATE(2027,9,1)=DATE(YEAR('01 — Editable assumptions — USD'!B61),MONTH('01 — Editable assumptions — USD'!B61),1),IF(DATE(YEAR('01 — Editable assumptions — USD'!B61),MONTH('01 — Editable assumptions — USD'!B61),1)="","",DATE(2027,9,1)=DATE(YEAR('01 — Editable assumptions — USD'!B61),MONTH('01 — Editable assumptions — USD'!B61),1)))),IF('04 — Scenario comparison — Base'!B24="","",'04 — Scenario comparison — Base'!B24),IF('07 — Cash projection — hypothet'!L11="","",'07 — Cash projection — hypothet'!L11)))+'07 — Cash projection — hypothet'!M9</f>
        <v>-30474.709999999992</v>
      </c>
      <c r="N11" s="9">
        <f>IF(IF(IF(IF(ISERROR(DATE(2027,10,1)=DATE(YEAR('01 — Editable assumptions — USD'!B61),MONTH('01 — Editable assumptions — USD'!B61),1)),DATE(2027,10,1)=DATE(YEAR('01 — Editable assumptions — USD'!B61),MONTH('01 — Editable assumptions — USD'!B61),1),IF(DATE(YEAR('01 — Editable assumptions — USD'!B61),MONTH('01 — Editable assumptions — USD'!B61),1)="","",DATE(2027,10,1)=DATE(YEAR('01 — Editable assumptions — USD'!B61),MONTH('01 — Editable assumptions — USD'!B61),1)))="",FALSE,IF(ISERROR(DATE(2027,10,1)=DATE(YEAR('01 — Editable assumptions — USD'!B61),MONTH('01 — Editable assumptions — USD'!B61),1)),DATE(2027,10,1)=DATE(YEAR('01 — Editable assumptions — USD'!B61),MONTH('01 — Editable assumptions — USD'!B61),1),IF(DATE(YEAR('01 — Editable assumptions — USD'!B61),MONTH('01 — Editable assumptions — USD'!B61),1)="","",DATE(2027,10,1)=DATE(YEAR('01 — Editable assumptions — USD'!B61),MONTH('01 — Editable assumptions — USD'!B61),1)))),IF('04 — Scenario comparison — Base'!B24="","",'04 — Scenario comparison — Base'!B24),IF('07 — Cash projection — hypothet'!M11="","",'07 — Cash projection — hypothet'!M11))="",0,IF(IF(IF(ISERROR(DATE(2027,10,1)=DATE(YEAR('01 — Editable assumptions — USD'!B61),MONTH('01 — Editable assumptions — USD'!B61),1)),DATE(2027,10,1)=DATE(YEAR('01 — Editable assumptions — USD'!B61),MONTH('01 — Editable assumptions — USD'!B61),1),IF(DATE(YEAR('01 — Editable assumptions — USD'!B61),MONTH('01 — Editable assumptions — USD'!B61),1)="","",DATE(2027,10,1)=DATE(YEAR('01 — Editable assumptions — USD'!B61),MONTH('01 — Editable assumptions — USD'!B61),1)))="",FALSE,IF(ISERROR(DATE(2027,10,1)=DATE(YEAR('01 — Editable assumptions — USD'!B61),MONTH('01 — Editable assumptions — USD'!B61),1)),DATE(2027,10,1)=DATE(YEAR('01 — Editable assumptions — USD'!B61),MONTH('01 — Editable assumptions — USD'!B61),1),IF(DATE(YEAR('01 — Editable assumptions — USD'!B61),MONTH('01 — Editable assumptions — USD'!B61),1)="","",DATE(2027,10,1)=DATE(YEAR('01 — Editable assumptions — USD'!B61),MONTH('01 — Editable assumptions — USD'!B61),1)))),IF('04 — Scenario comparison — Base'!B24="","",'04 — Scenario comparison — Base'!B24),IF('07 — Cash projection — hypothet'!M11="","",'07 — Cash projection — hypothet'!M11)))+'07 — Cash projection — hypothet'!N9</f>
        <v>-32771.899999999994</v>
      </c>
      <c r="O11" s="9">
        <f>IF(IF(IF(IF(ISERROR(DATE(2027,11,1)=DATE(YEAR('01 — Editable assumptions — USD'!B61),MONTH('01 — Editable assumptions — USD'!B61),1)),DATE(2027,11,1)=DATE(YEAR('01 — Editable assumptions — USD'!B61),MONTH('01 — Editable assumptions — USD'!B61),1),IF(DATE(YEAR('01 — Editable assumptions — USD'!B61),MONTH('01 — Editable assumptions — USD'!B61),1)="","",DATE(2027,11,1)=DATE(YEAR('01 — Editable assumptions — USD'!B61),MONTH('01 — Editable assumptions — USD'!B61),1)))="",FALSE,IF(ISERROR(DATE(2027,11,1)=DATE(YEAR('01 — Editable assumptions — USD'!B61),MONTH('01 — Editable assumptions — USD'!B61),1)),DATE(2027,11,1)=DATE(YEAR('01 — Editable assumptions — USD'!B61),MONTH('01 — Editable assumptions — USD'!B61),1),IF(DATE(YEAR('01 — Editable assumptions — USD'!B61),MONTH('01 — Editable assumptions — USD'!B61),1)="","",DATE(2027,11,1)=DATE(YEAR('01 — Editable assumptions — USD'!B61),MONTH('01 — Editable assumptions — USD'!B61),1)))),IF('04 — Scenario comparison — Base'!B24="","",'04 — Scenario comparison — Base'!B24),IF('07 — Cash projection — hypothet'!N11="","",'07 — Cash projection — hypothet'!N11))="",0,IF(IF(IF(ISERROR(DATE(2027,11,1)=DATE(YEAR('01 — Editable assumptions — USD'!B61),MONTH('01 — Editable assumptions — USD'!B61),1)),DATE(2027,11,1)=DATE(YEAR('01 — Editable assumptions — USD'!B61),MONTH('01 — Editable assumptions — USD'!B61),1),IF(DATE(YEAR('01 — Editable assumptions — USD'!B61),MONTH('01 — Editable assumptions — USD'!B61),1)="","",DATE(2027,11,1)=DATE(YEAR('01 — Editable assumptions — USD'!B61),MONTH('01 — Editable assumptions — USD'!B61),1)))="",FALSE,IF(ISERROR(DATE(2027,11,1)=DATE(YEAR('01 — Editable assumptions — USD'!B61),MONTH('01 — Editable assumptions — USD'!B61),1)),DATE(2027,11,1)=DATE(YEAR('01 — Editable assumptions — USD'!B61),MONTH('01 — Editable assumptions — USD'!B61),1),IF(DATE(YEAR('01 — Editable assumptions — USD'!B61),MONTH('01 — Editable assumptions — USD'!B61),1)="","",DATE(2027,11,1)=DATE(YEAR('01 — Editable assumptions — USD'!B61),MONTH('01 — Editable assumptions — USD'!B61),1)))),IF('04 — Scenario comparison — Base'!B24="","",'04 — Scenario comparison — Base'!B24),IF('07 — Cash projection — hypothet'!N11="","",'07 — Cash projection — hypothet'!N11)))+'07 — Cash projection — hypothet'!O9</f>
        <v>-35069.09</v>
      </c>
      <c r="P11" s="9">
        <f>IF(IF(IF(IF(ISERROR(DATE(2027,12,1)=DATE(YEAR('01 — Editable assumptions — USD'!B61),MONTH('01 — Editable assumptions — USD'!B61),1)),DATE(2027,12,1)=DATE(YEAR('01 — Editable assumptions — USD'!B61),MONTH('01 — Editable assumptions — USD'!B61),1),IF(DATE(YEAR('01 — Editable assumptions — USD'!B61),MONTH('01 — Editable assumptions — USD'!B61),1)="","",DATE(2027,12,1)=DATE(YEAR('01 — Editable assumptions — USD'!B61),MONTH('01 — Editable assumptions — USD'!B61),1)))="",FALSE,IF(ISERROR(DATE(2027,12,1)=DATE(YEAR('01 — Editable assumptions — USD'!B61),MONTH('01 — Editable assumptions — USD'!B61),1)),DATE(2027,12,1)=DATE(YEAR('01 — Editable assumptions — USD'!B61),MONTH('01 — Editable assumptions — USD'!B61),1),IF(DATE(YEAR('01 — Editable assumptions — USD'!B61),MONTH('01 — Editable assumptions — USD'!B61),1)="","",DATE(2027,12,1)=DATE(YEAR('01 — Editable assumptions — USD'!B61),MONTH('01 — Editable assumptions — USD'!B61),1)))),IF('04 — Scenario comparison — Base'!B24="","",'04 — Scenario comparison — Base'!B24),IF('07 — Cash projection — hypothet'!O11="","",'07 — Cash projection — hypothet'!O11))="",0,IF(IF(IF(ISERROR(DATE(2027,12,1)=DATE(YEAR('01 — Editable assumptions — USD'!B61),MONTH('01 — Editable assumptions — USD'!B61),1)),DATE(2027,12,1)=DATE(YEAR('01 — Editable assumptions — USD'!B61),MONTH('01 — Editable assumptions — USD'!B61),1),IF(DATE(YEAR('01 — Editable assumptions — USD'!B61),MONTH('01 — Editable assumptions — USD'!B61),1)="","",DATE(2027,12,1)=DATE(YEAR('01 — Editable assumptions — USD'!B61),MONTH('01 — Editable assumptions — USD'!B61),1)))="",FALSE,IF(ISERROR(DATE(2027,12,1)=DATE(YEAR('01 — Editable assumptions — USD'!B61),MONTH('01 — Editable assumptions — USD'!B61),1)),DATE(2027,12,1)=DATE(YEAR('01 — Editable assumptions — USD'!B61),MONTH('01 — Editable assumptions — USD'!B61),1),IF(DATE(YEAR('01 — Editable assumptions — USD'!B61),MONTH('01 — Editable assumptions — USD'!B61),1)="","",DATE(2027,12,1)=DATE(YEAR('01 — Editable assumptions — USD'!B61),MONTH('01 — Editable assumptions — USD'!B61),1)))),IF('04 — Scenario comparison — Base'!B24="","",'04 — Scenario comparison — Base'!B24),IF('07 — Cash projection — hypothet'!O11="","",'07 — Cash projection — hypothet'!O11)))+'07 — Cash projection — hypothet'!P9</f>
        <v>-37366.28</v>
      </c>
    </row>
    <row r="12">
      <c r="A12" t="inlineStr" s="7">
        <is>
          <t xml:space="preserve">TS Projected reserve</t>
        </is>
      </c>
      <c r="B12" s="9">
        <f>IF(IF(IF(ISERROR(DATE(2026,10,1)&gt;=DATE(YEAR('01 — Editable assumptions — USD'!B60),MONTH('01 — Editable assumptions — USD'!B60),1)),DATE(2026,10,1)&gt;=DATE(YEAR('01 — Editable assumptions — USD'!B60),MONTH('01 — Editable assumptions — USD'!B60),1),IF(DATE(YEAR('01 — Editable assumptions — USD'!B60),MONTH('01 — Editable assumptions — USD'!B60),1)="","",DATE(2026,10,1)&gt;=DATE(YEAR('01 — Editable assumptions — USD'!B60),MONTH('01 — Editable assumptions — USD'!B60),1)))="",FALSE,IF(ISERROR(DATE(2026,10,1)&gt;=DATE(YEAR('01 — Editable assumptions — USD'!B60),MONTH('01 — Editable assumptions — USD'!B60),1)),DATE(2026,10,1)&gt;=DATE(YEAR('01 — Editable assumptions — USD'!B60),MONTH('01 — Editable assumptions — USD'!B60),1),IF(DATE(YEAR('01 — Editable assumptions — USD'!B60),MONTH('01 — Editable assumptions — USD'!B60),1)="","",DATE(2026,10,1)&gt;=DATE(YEAR('01 — Editable assumptions — USD'!B60),MONTH('01 — Editable assumptions — USD'!B60),1)))),IF('04 — Scenario comparison — Base'!B23="","",'04 — Scenario comparison — Base'!B23),0)</f>
        <v>0</v>
      </c>
      <c r="C12" s="9">
        <f>IF(IF(IF(ISERROR(DATE(2026,11,1)&gt;=DATE(YEAR('01 — Editable assumptions — USD'!B60),MONTH('01 — Editable assumptions — USD'!B60),1)),DATE(2026,11,1)&gt;=DATE(YEAR('01 — Editable assumptions — USD'!B60),MONTH('01 — Editable assumptions — USD'!B60),1),IF(DATE(YEAR('01 — Editable assumptions — USD'!B60),MONTH('01 — Editable assumptions — USD'!B60),1)="","",DATE(2026,11,1)&gt;=DATE(YEAR('01 — Editable assumptions — USD'!B60),MONTH('01 — Editable assumptions — USD'!B60),1)))="",FALSE,IF(ISERROR(DATE(2026,11,1)&gt;=DATE(YEAR('01 — Editable assumptions — USD'!B60),MONTH('01 — Editable assumptions — USD'!B60),1)),DATE(2026,11,1)&gt;=DATE(YEAR('01 — Editable assumptions — USD'!B60),MONTH('01 — Editable assumptions — USD'!B60),1),IF(DATE(YEAR('01 — Editable assumptions — USD'!B60),MONTH('01 — Editable assumptions — USD'!B60),1)="","",DATE(2026,11,1)&gt;=DATE(YEAR('01 — Editable assumptions — USD'!B60),MONTH('01 — Editable assumptions — USD'!B60),1)))),IF('04 — Scenario comparison — Base'!B23="","",'04 — Scenario comparison — Base'!B23),0)</f>
        <v>0</v>
      </c>
      <c r="D12" s="9">
        <f>IF(IF(IF(ISERROR(DATE(2026,12,1)&gt;=DATE(YEAR('01 — Editable assumptions — USD'!B60),MONTH('01 — Editable assumptions — USD'!B60),1)),DATE(2026,12,1)&gt;=DATE(YEAR('01 — Editable assumptions — USD'!B60),MONTH('01 — Editable assumptions — USD'!B60),1),IF(DATE(YEAR('01 — Editable assumptions — USD'!B60),MONTH('01 — Editable assumptions — USD'!B60),1)="","",DATE(2026,12,1)&gt;=DATE(YEAR('01 — Editable assumptions — USD'!B60),MONTH('01 — Editable assumptions — USD'!B60),1)))="",FALSE,IF(ISERROR(DATE(2026,12,1)&gt;=DATE(YEAR('01 — Editable assumptions — USD'!B60),MONTH('01 — Editable assumptions — USD'!B60),1)),DATE(2026,12,1)&gt;=DATE(YEAR('01 — Editable assumptions — USD'!B60),MONTH('01 — Editable assumptions — USD'!B60),1),IF(DATE(YEAR('01 — Editable assumptions — USD'!B60),MONTH('01 — Editable assumptions — USD'!B60),1)="","",DATE(2026,12,1)&gt;=DATE(YEAR('01 — Editable assumptions — USD'!B60),MONTH('01 — Editable assumptions — USD'!B60),1)))),IF('04 — Scenario comparison — Base'!B23="","",'04 — Scenario comparison — Base'!B23),0)</f>
        <v>0</v>
      </c>
      <c r="E12" s="9">
        <f>IF(IF(IF(ISERROR(DATE(2027,1,1)&gt;=DATE(YEAR('01 — Editable assumptions — USD'!B60),MONTH('01 — Editable assumptions — USD'!B60),1)),DATE(2027,1,1)&gt;=DATE(YEAR('01 — Editable assumptions — USD'!B60),MONTH('01 — Editable assumptions — USD'!B60),1),IF(DATE(YEAR('01 — Editable assumptions — USD'!B60),MONTH('01 — Editable assumptions — USD'!B60),1)="","",DATE(2027,1,1)&gt;=DATE(YEAR('01 — Editable assumptions — USD'!B60),MONTH('01 — Editable assumptions — USD'!B60),1)))="",FALSE,IF(ISERROR(DATE(2027,1,1)&gt;=DATE(YEAR('01 — Editable assumptions — USD'!B60),MONTH('01 — Editable assumptions — USD'!B60),1)),DATE(2027,1,1)&gt;=DATE(YEAR('01 — Editable assumptions — USD'!B60),MONTH('01 — Editable assumptions — USD'!B60),1),IF(DATE(YEAR('01 — Editable assumptions — USD'!B60),MONTH('01 — Editable assumptions — USD'!B60),1)="","",DATE(2027,1,1)&gt;=DATE(YEAR('01 — Editable assumptions — USD'!B60),MONTH('01 — Editable assumptions — USD'!B60),1)))),IF('04 — Scenario comparison — Base'!B23="","",'04 — Scenario comparison — Base'!B23),0)</f>
        <v>616.011</v>
      </c>
      <c r="F12" s="9">
        <f>IF(IF(IF(ISERROR(DATE(2027,2,1)&gt;=DATE(YEAR('01 — Editable assumptions — USD'!B60),MONTH('01 — Editable assumptions — USD'!B60),1)),DATE(2027,2,1)&gt;=DATE(YEAR('01 — Editable assumptions — USD'!B60),MONTH('01 — Editable assumptions — USD'!B60),1),IF(DATE(YEAR('01 — Editable assumptions — USD'!B60),MONTH('01 — Editable assumptions — USD'!B60),1)="","",DATE(2027,2,1)&gt;=DATE(YEAR('01 — Editable assumptions — USD'!B60),MONTH('01 — Editable assumptions — USD'!B60),1)))="",FALSE,IF(ISERROR(DATE(2027,2,1)&gt;=DATE(YEAR('01 — Editable assumptions — USD'!B60),MONTH('01 — Editable assumptions — USD'!B60),1)),DATE(2027,2,1)&gt;=DATE(YEAR('01 — Editable assumptions — USD'!B60),MONTH('01 — Editable assumptions — USD'!B60),1),IF(DATE(YEAR('01 — Editable assumptions — USD'!B60),MONTH('01 — Editable assumptions — USD'!B60),1)="","",DATE(2027,2,1)&gt;=DATE(YEAR('01 — Editable assumptions — USD'!B60),MONTH('01 — Editable assumptions — USD'!B60),1)))),IF('04 — Scenario comparison — Base'!B23="","",'04 — Scenario comparison — Base'!B23),0)</f>
        <v>616.011</v>
      </c>
      <c r="G12" s="9">
        <f>IF(IF(IF(ISERROR(DATE(2027,3,1)&gt;=DATE(YEAR('01 — Editable assumptions — USD'!B60),MONTH('01 — Editable assumptions — USD'!B60),1)),DATE(2027,3,1)&gt;=DATE(YEAR('01 — Editable assumptions — USD'!B60),MONTH('01 — Editable assumptions — USD'!B60),1),IF(DATE(YEAR('01 — Editable assumptions — USD'!B60),MONTH('01 — Editable assumptions — USD'!B60),1)="","",DATE(2027,3,1)&gt;=DATE(YEAR('01 — Editable assumptions — USD'!B60),MONTH('01 — Editable assumptions — USD'!B60),1)))="",FALSE,IF(ISERROR(DATE(2027,3,1)&gt;=DATE(YEAR('01 — Editable assumptions — USD'!B60),MONTH('01 — Editable assumptions — USD'!B60),1)),DATE(2027,3,1)&gt;=DATE(YEAR('01 — Editable assumptions — USD'!B60),MONTH('01 — Editable assumptions — USD'!B60),1),IF(DATE(YEAR('01 — Editable assumptions — USD'!B60),MONTH('01 — Editable assumptions — USD'!B60),1)="","",DATE(2027,3,1)&gt;=DATE(YEAR('01 — Editable assumptions — USD'!B60),MONTH('01 — Editable assumptions — USD'!B60),1)))),IF('04 — Scenario comparison — Base'!B23="","",'04 — Scenario comparison — Base'!B23),0)</f>
        <v>616.011</v>
      </c>
      <c r="H12" s="9">
        <f>IF(IF(IF(ISERROR(DATE(2027,4,1)&gt;=DATE(YEAR('01 — Editable assumptions — USD'!B60),MONTH('01 — Editable assumptions — USD'!B60),1)),DATE(2027,4,1)&gt;=DATE(YEAR('01 — Editable assumptions — USD'!B60),MONTH('01 — Editable assumptions — USD'!B60),1),IF(DATE(YEAR('01 — Editable assumptions — USD'!B60),MONTH('01 — Editable assumptions — USD'!B60),1)="","",DATE(2027,4,1)&gt;=DATE(YEAR('01 — Editable assumptions — USD'!B60),MONTH('01 — Editable assumptions — USD'!B60),1)))="",FALSE,IF(ISERROR(DATE(2027,4,1)&gt;=DATE(YEAR('01 — Editable assumptions — USD'!B60),MONTH('01 — Editable assumptions — USD'!B60),1)),DATE(2027,4,1)&gt;=DATE(YEAR('01 — Editable assumptions — USD'!B60),MONTH('01 — Editable assumptions — USD'!B60),1),IF(DATE(YEAR('01 — Editable assumptions — USD'!B60),MONTH('01 — Editable assumptions — USD'!B60),1)="","",DATE(2027,4,1)&gt;=DATE(YEAR('01 — Editable assumptions — USD'!B60),MONTH('01 — Editable assumptions — USD'!B60),1)))),IF('04 — Scenario comparison — Base'!B23="","",'04 — Scenario comparison — Base'!B23),0)</f>
        <v>616.011</v>
      </c>
      <c r="I12" s="9">
        <f>IF(IF(IF(ISERROR(DATE(2027,5,1)&gt;=DATE(YEAR('01 — Editable assumptions — USD'!B60),MONTH('01 — Editable assumptions — USD'!B60),1)),DATE(2027,5,1)&gt;=DATE(YEAR('01 — Editable assumptions — USD'!B60),MONTH('01 — Editable assumptions — USD'!B60),1),IF(DATE(YEAR('01 — Editable assumptions — USD'!B60),MONTH('01 — Editable assumptions — USD'!B60),1)="","",DATE(2027,5,1)&gt;=DATE(YEAR('01 — Editable assumptions — USD'!B60),MONTH('01 — Editable assumptions — USD'!B60),1)))="",FALSE,IF(ISERROR(DATE(2027,5,1)&gt;=DATE(YEAR('01 — Editable assumptions — USD'!B60),MONTH('01 — Editable assumptions — USD'!B60),1)),DATE(2027,5,1)&gt;=DATE(YEAR('01 — Editable assumptions — USD'!B60),MONTH('01 — Editable assumptions — USD'!B60),1),IF(DATE(YEAR('01 — Editable assumptions — USD'!B60),MONTH('01 — Editable assumptions — USD'!B60),1)="","",DATE(2027,5,1)&gt;=DATE(YEAR('01 — Editable assumptions — USD'!B60),MONTH('01 — Editable assumptions — USD'!B60),1)))),IF('04 — Scenario comparison — Base'!B23="","",'04 — Scenario comparison — Base'!B23),0)</f>
        <v>616.011</v>
      </c>
      <c r="J12" s="9">
        <f>IF(IF(IF(ISERROR(DATE(2027,6,1)&gt;=DATE(YEAR('01 — Editable assumptions — USD'!B60),MONTH('01 — Editable assumptions — USD'!B60),1)),DATE(2027,6,1)&gt;=DATE(YEAR('01 — Editable assumptions — USD'!B60),MONTH('01 — Editable assumptions — USD'!B60),1),IF(DATE(YEAR('01 — Editable assumptions — USD'!B60),MONTH('01 — Editable assumptions — USD'!B60),1)="","",DATE(2027,6,1)&gt;=DATE(YEAR('01 — Editable assumptions — USD'!B60),MONTH('01 — Editable assumptions — USD'!B60),1)))="",FALSE,IF(ISERROR(DATE(2027,6,1)&gt;=DATE(YEAR('01 — Editable assumptions — USD'!B60),MONTH('01 — Editable assumptions — USD'!B60),1)),DATE(2027,6,1)&gt;=DATE(YEAR('01 — Editable assumptions — USD'!B60),MONTH('01 — Editable assumptions — USD'!B60),1),IF(DATE(YEAR('01 — Editable assumptions — USD'!B60),MONTH('01 — Editable assumptions — USD'!B60),1)="","",DATE(2027,6,1)&gt;=DATE(YEAR('01 — Editable assumptions — USD'!B60),MONTH('01 — Editable assumptions — USD'!B60),1)))),IF('04 — Scenario comparison — Base'!B23="","",'04 — Scenario comparison — Base'!B23),0)</f>
        <v>616.011</v>
      </c>
      <c r="K12" s="9">
        <f>IF(IF(IF(ISERROR(DATE(2027,7,1)&gt;=DATE(YEAR('01 — Editable assumptions — USD'!B60),MONTH('01 — Editable assumptions — USD'!B60),1)),DATE(2027,7,1)&gt;=DATE(YEAR('01 — Editable assumptions — USD'!B60),MONTH('01 — Editable assumptions — USD'!B60),1),IF(DATE(YEAR('01 — Editable assumptions — USD'!B60),MONTH('01 — Editable assumptions — USD'!B60),1)="","",DATE(2027,7,1)&gt;=DATE(YEAR('01 — Editable assumptions — USD'!B60),MONTH('01 — Editable assumptions — USD'!B60),1)))="",FALSE,IF(ISERROR(DATE(2027,7,1)&gt;=DATE(YEAR('01 — Editable assumptions — USD'!B60),MONTH('01 — Editable assumptions — USD'!B60),1)),DATE(2027,7,1)&gt;=DATE(YEAR('01 — Editable assumptions — USD'!B60),MONTH('01 — Editable assumptions — USD'!B60),1),IF(DATE(YEAR('01 — Editable assumptions — USD'!B60),MONTH('01 — Editable assumptions — USD'!B60),1)="","",DATE(2027,7,1)&gt;=DATE(YEAR('01 — Editable assumptions — USD'!B60),MONTH('01 — Editable assumptions — USD'!B60),1)))),IF('04 — Scenario comparison — Base'!B23="","",'04 — Scenario comparison — Base'!B23),0)</f>
        <v>616.011</v>
      </c>
      <c r="L12" s="9">
        <f>IF(IF(IF(ISERROR(DATE(2027,8,1)&gt;=DATE(YEAR('01 — Editable assumptions — USD'!B60),MONTH('01 — Editable assumptions — USD'!B60),1)),DATE(2027,8,1)&gt;=DATE(YEAR('01 — Editable assumptions — USD'!B60),MONTH('01 — Editable assumptions — USD'!B60),1),IF(DATE(YEAR('01 — Editable assumptions — USD'!B60),MONTH('01 — Editable assumptions — USD'!B60),1)="","",DATE(2027,8,1)&gt;=DATE(YEAR('01 — Editable assumptions — USD'!B60),MONTH('01 — Editable assumptions — USD'!B60),1)))="",FALSE,IF(ISERROR(DATE(2027,8,1)&gt;=DATE(YEAR('01 — Editable assumptions — USD'!B60),MONTH('01 — Editable assumptions — USD'!B60),1)),DATE(2027,8,1)&gt;=DATE(YEAR('01 — Editable assumptions — USD'!B60),MONTH('01 — Editable assumptions — USD'!B60),1),IF(DATE(YEAR('01 — Editable assumptions — USD'!B60),MONTH('01 — Editable assumptions — USD'!B60),1)="","",DATE(2027,8,1)&gt;=DATE(YEAR('01 — Editable assumptions — USD'!B60),MONTH('01 — Editable assumptions — USD'!B60),1)))),IF('04 — Scenario comparison — Base'!B23="","",'04 — Scenario comparison — Base'!B23),0)</f>
        <v>616.011</v>
      </c>
      <c r="M12" s="9">
        <f>IF(IF(IF(ISERROR(DATE(2027,9,1)&gt;=DATE(YEAR('01 — Editable assumptions — USD'!B60),MONTH('01 — Editable assumptions — USD'!B60),1)),DATE(2027,9,1)&gt;=DATE(YEAR('01 — Editable assumptions — USD'!B60),MONTH('01 — Editable assumptions — USD'!B60),1),IF(DATE(YEAR('01 — Editable assumptions — USD'!B60),MONTH('01 — Editable assumptions — USD'!B60),1)="","",DATE(2027,9,1)&gt;=DATE(YEAR('01 — Editable assumptions — USD'!B60),MONTH('01 — Editable assumptions — USD'!B60),1)))="",FALSE,IF(ISERROR(DATE(2027,9,1)&gt;=DATE(YEAR('01 — Editable assumptions — USD'!B60),MONTH('01 — Editable assumptions — USD'!B60),1)),DATE(2027,9,1)&gt;=DATE(YEAR('01 — Editable assumptions — USD'!B60),MONTH('01 — Editable assumptions — USD'!B60),1),IF(DATE(YEAR('01 — Editable assumptions — USD'!B60),MONTH('01 — Editable assumptions — USD'!B60),1)="","",DATE(2027,9,1)&gt;=DATE(YEAR('01 — Editable assumptions — USD'!B60),MONTH('01 — Editable assumptions — USD'!B60),1)))),IF('04 — Scenario comparison — Base'!B23="","",'04 — Scenario comparison — Base'!B23),0)</f>
        <v>616.011</v>
      </c>
      <c r="N12" s="9">
        <f>IF(IF(IF(ISERROR(DATE(2027,10,1)&gt;=DATE(YEAR('01 — Editable assumptions — USD'!B60),MONTH('01 — Editable assumptions — USD'!B60),1)),DATE(2027,10,1)&gt;=DATE(YEAR('01 — Editable assumptions — USD'!B60),MONTH('01 — Editable assumptions — USD'!B60),1),IF(DATE(YEAR('01 — Editable assumptions — USD'!B60),MONTH('01 — Editable assumptions — USD'!B60),1)="","",DATE(2027,10,1)&gt;=DATE(YEAR('01 — Editable assumptions — USD'!B60),MONTH('01 — Editable assumptions — USD'!B60),1)))="",FALSE,IF(ISERROR(DATE(2027,10,1)&gt;=DATE(YEAR('01 — Editable assumptions — USD'!B60),MONTH('01 — Editable assumptions — USD'!B60),1)),DATE(2027,10,1)&gt;=DATE(YEAR('01 — Editable assumptions — USD'!B60),MONTH('01 — Editable assumptions — USD'!B60),1),IF(DATE(YEAR('01 — Editable assumptions — USD'!B60),MONTH('01 — Editable assumptions — USD'!B60),1)="","",DATE(2027,10,1)&gt;=DATE(YEAR('01 — Editable assumptions — USD'!B60),MONTH('01 — Editable assumptions — USD'!B60),1)))),IF('04 — Scenario comparison — Base'!B23="","",'04 — Scenario comparison — Base'!B23),0)</f>
        <v>616.011</v>
      </c>
      <c r="O12" s="9">
        <f>IF(IF(IF(ISERROR(DATE(2027,11,1)&gt;=DATE(YEAR('01 — Editable assumptions — USD'!B60),MONTH('01 — Editable assumptions — USD'!B60),1)),DATE(2027,11,1)&gt;=DATE(YEAR('01 — Editable assumptions — USD'!B60),MONTH('01 — Editable assumptions — USD'!B60),1),IF(DATE(YEAR('01 — Editable assumptions — USD'!B60),MONTH('01 — Editable assumptions — USD'!B60),1)="","",DATE(2027,11,1)&gt;=DATE(YEAR('01 — Editable assumptions — USD'!B60),MONTH('01 — Editable assumptions — USD'!B60),1)))="",FALSE,IF(ISERROR(DATE(2027,11,1)&gt;=DATE(YEAR('01 — Editable assumptions — USD'!B60),MONTH('01 — Editable assumptions — USD'!B60),1)),DATE(2027,11,1)&gt;=DATE(YEAR('01 — Editable assumptions — USD'!B60),MONTH('01 — Editable assumptions — USD'!B60),1),IF(DATE(YEAR('01 — Editable assumptions — USD'!B60),MONTH('01 — Editable assumptions — USD'!B60),1)="","",DATE(2027,11,1)&gt;=DATE(YEAR('01 — Editable assumptions — USD'!B60),MONTH('01 — Editable assumptions — USD'!B60),1)))),IF('04 — Scenario comparison — Base'!B23="","",'04 — Scenario comparison — Base'!B23),0)</f>
        <v>616.011</v>
      </c>
      <c r="P12" s="9">
        <f>IF(IF(IF(ISERROR(DATE(2027,12,1)&gt;=DATE(YEAR('01 — Editable assumptions — USD'!B60),MONTH('01 — Editable assumptions — USD'!B60),1)),DATE(2027,12,1)&gt;=DATE(YEAR('01 — Editable assumptions — USD'!B60),MONTH('01 — Editable assumptions — USD'!B60),1),IF(DATE(YEAR('01 — Editable assumptions — USD'!B60),MONTH('01 — Editable assumptions — USD'!B60),1)="","",DATE(2027,12,1)&gt;=DATE(YEAR('01 — Editable assumptions — USD'!B60),MONTH('01 — Editable assumptions — USD'!B60),1)))="",FALSE,IF(ISERROR(DATE(2027,12,1)&gt;=DATE(YEAR('01 — Editable assumptions — USD'!B60),MONTH('01 — Editable assumptions — USD'!B60),1)),DATE(2027,12,1)&gt;=DATE(YEAR('01 — Editable assumptions — USD'!B60),MONTH('01 — Editable assumptions — USD'!B60),1),IF(DATE(YEAR('01 — Editable assumptions — USD'!B60),MONTH('01 — Editable assumptions — USD'!B60),1)="","",DATE(2027,12,1)&gt;=DATE(YEAR('01 — Editable assumptions — USD'!B60),MONTH('01 — Editable assumptions — USD'!B60),1)))),IF('04 — Scenario comparison — Base'!B23="","",'04 — Scenario comparison — Base'!B23),0)</f>
        <v>616.011</v>
      </c>
    </row>
    <row r="13">
      <c r="A13" t="inlineStr" s="7">
        <is>
          <t xml:space="preserve">TS Projected available cash bootstrap</t>
        </is>
      </c>
      <c r="B13" s="9">
        <f>'07 — Cash projection — hypothet'!B10-'07 — Cash projection — hypothet'!B12</f>
        <v>400</v>
      </c>
      <c r="C13" s="9">
        <f>'07 — Cash projection — hypothet'!C10-'07 — Cash projection — hypothet'!C12</f>
        <v>-200</v>
      </c>
      <c r="D13" s="9">
        <f>'07 — Cash projection — hypothet'!D10-'07 — Cash projection — hypothet'!D12</f>
        <v>-800</v>
      </c>
      <c r="E13" s="9">
        <f>'07 — Cash projection — hypothet'!E10-'07 — Cash projection — hypothet'!E12</f>
        <v>-713.201</v>
      </c>
      <c r="F13" s="9">
        <f>'07 — Cash projection — hypothet'!F10-'07 — Cash projection — hypothet'!F12</f>
        <v>-10.391000000000076</v>
      </c>
      <c r="G13" s="9">
        <f>'07 — Cash projection — hypothet'!G10-'07 — Cash projection — hypothet'!G12</f>
        <v>692.4189999999999</v>
      </c>
      <c r="H13" s="9">
        <f>'07 — Cash projection — hypothet'!H10-'07 — Cash projection — hypothet'!H12</f>
        <v>1395.2289999999998</v>
      </c>
      <c r="I13" s="9">
        <f>'07 — Cash projection — hypothet'!I10-'07 — Cash projection — hypothet'!I12</f>
        <v>2098.0389999999998</v>
      </c>
      <c r="J13" s="9">
        <f>'07 — Cash projection — hypothet'!J10-'07 — Cash projection — hypothet'!J12</f>
        <v>2800.8489999999997</v>
      </c>
      <c r="K13" s="9">
        <f>'07 — Cash projection — hypothet'!K10-'07 — Cash projection — hypothet'!K12</f>
        <v>3503.659</v>
      </c>
      <c r="L13" s="9">
        <f>'07 — Cash projection — hypothet'!L10-'07 — Cash projection — hypothet'!L12</f>
        <v>4206.468999999999</v>
      </c>
      <c r="M13" s="9">
        <f>'07 — Cash projection — hypothet'!M10-'07 — Cash projection — hypothet'!M12</f>
        <v>4909.278999999999</v>
      </c>
      <c r="N13" s="9">
        <f>'07 — Cash projection — hypothet'!N10-'07 — Cash projection — hypothet'!N12</f>
        <v>5612.088999999998</v>
      </c>
      <c r="O13" s="9">
        <f>'07 — Cash projection — hypothet'!O10-'07 — Cash projection — hypothet'!O12</f>
        <v>6314.898999999998</v>
      </c>
      <c r="P13" s="9">
        <f>'07 — Cash projection — hypothet'!P10-'07 — Cash projection — hypothet'!P12</f>
        <v>7017.708999999997</v>
      </c>
    </row>
    <row r="14">
      <c r="A14" t="inlineStr" s="7">
        <is>
          <t xml:space="preserve">TS Projected available cash founder</t>
        </is>
      </c>
      <c r="B14" s="9">
        <f>'07 — Cash projection — hypothet'!B11-'07 — Cash projection — hypothet'!B12</f>
        <v>-2600</v>
      </c>
      <c r="C14" s="9">
        <f>'07 — Cash projection — hypothet'!C11-'07 — Cash projection — hypothet'!C12</f>
        <v>-6200</v>
      </c>
      <c r="D14" s="9">
        <f>'07 — Cash projection — hypothet'!D11-'07 — Cash projection — hypothet'!D12</f>
        <v>-9800</v>
      </c>
      <c r="E14" s="9">
        <f>'07 — Cash projection — hypothet'!E11-'07 — Cash projection — hypothet'!E12</f>
        <v>-12713.201000000001</v>
      </c>
      <c r="F14" s="9">
        <f>'07 — Cash projection — hypothet'!F11-'07 — Cash projection — hypothet'!F12</f>
        <v>-15010.391000000001</v>
      </c>
      <c r="G14" s="9">
        <f>'07 — Cash projection — hypothet'!G11-'07 — Cash projection — hypothet'!G12</f>
        <v>-17307.581</v>
      </c>
      <c r="H14" s="9">
        <f>'07 — Cash projection — hypothet'!H11-'07 — Cash projection — hypothet'!H12</f>
        <v>-19604.770999999997</v>
      </c>
      <c r="I14" s="9">
        <f>'07 — Cash projection — hypothet'!I11-'07 — Cash projection — hypothet'!I12</f>
        <v>-21901.960999999996</v>
      </c>
      <c r="J14" s="9">
        <f>'07 — Cash projection — hypothet'!J11-'07 — Cash projection — hypothet'!J12</f>
        <v>-24199.150999999994</v>
      </c>
      <c r="K14" s="9">
        <f>'07 — Cash projection — hypothet'!K11-'07 — Cash projection — hypothet'!K12</f>
        <v>-26496.340999999993</v>
      </c>
      <c r="L14" s="9">
        <f>'07 — Cash projection — hypothet'!L11-'07 — Cash projection — hypothet'!L12</f>
        <v>-28793.53099999999</v>
      </c>
      <c r="M14" s="9">
        <f>'07 — Cash projection — hypothet'!M11-'07 — Cash projection — hypothet'!M12</f>
        <v>-31090.72099999999</v>
      </c>
      <c r="N14" s="9">
        <f>'07 — Cash projection — hypothet'!N11-'07 — Cash projection — hypothet'!N12</f>
        <v>-33387.91099999999</v>
      </c>
      <c r="O14" s="9">
        <f>'07 — Cash projection — hypothet'!O11-'07 — Cash projection — hypothet'!O12</f>
        <v>-35685.100999999995</v>
      </c>
      <c r="P14" s="9">
        <f>'07 — Cash projection — hypothet'!P11-'07 — Cash projection — hypothet'!P12</f>
        <v>-37982.291</v>
      </c>
    </row>
    <row r="15">
      <c r="A15" t="inlineStr" s="5">
        <is>
          <t xml:space="preserve">TS Projected cash reconciliation</t>
        </is>
      </c>
      <c r="B15" s="15">
        <f>'07 — Cash projection — hypothet'!B10-IF(IF(IF(IF(ISERROR(DATE(2026,10,1)=DATE(YEAR('01 — Editable assumptions — USD'!B61),MONTH('01 — Editable assumptions — USD'!B61),1)),DATE(2026,10,1)=DATE(YEAR('01 — Editable assumptions — USD'!B61),MONTH('01 — Editable assumptions — USD'!B61),1),IF(DATE(YEAR('01 — Editable assumptions — USD'!B61),MONTH('01 — Editable assumptions — USD'!B61),1)="","",DATE(2026,10,1)=DATE(YEAR('01 — Editable assumptions — USD'!B61),MONTH('01 — Editable assumptions — USD'!B61),1)))="",FALSE,IF(ISERROR(DATE(2026,10,1)=DATE(YEAR('01 — Editable assumptions — USD'!B61),MONTH('01 — Editable assumptions — USD'!B61),1)),DATE(2026,10,1)=DATE(YEAR('01 — Editable assumptions — USD'!B61),MONTH('01 — Editable assumptions — USD'!B61),1),IF(DATE(YEAR('01 — Editable assumptions — USD'!B61),MONTH('01 — Editable assumptions — USD'!B61),1)="","",DATE(2026,10,1)=DATE(YEAR('01 — Editable assumptions — USD'!B61),MONTH('01 — Editable assumptions — USD'!B61),1)))),IF('04 — Scenario comparison — Base'!B24="","",'04 — Scenario comparison — Base'!B24),IF('Model inputs'!D98="","",'Model inputs'!D98))="",0,IF(IF(IF(ISERROR(DATE(2026,10,1)=DATE(YEAR('01 — Editable assumptions — USD'!B61),MONTH('01 — Editable assumptions — USD'!B61),1)),DATE(2026,10,1)=DATE(YEAR('01 — Editable assumptions — USD'!B61),MONTH('01 — Editable assumptions — USD'!B61),1),IF(DATE(YEAR('01 — Editable assumptions — USD'!B61),MONTH('01 — Editable assumptions — USD'!B61),1)="","",DATE(2026,10,1)=DATE(YEAR('01 — Editable assumptions — USD'!B61),MONTH('01 — Editable assumptions — USD'!B61),1)))="",FALSE,IF(ISERROR(DATE(2026,10,1)=DATE(YEAR('01 — Editable assumptions — USD'!B61),MONTH('01 — Editable assumptions — USD'!B61),1)),DATE(2026,10,1)=DATE(YEAR('01 — Editable assumptions — USD'!B61),MONTH('01 — Editable assumptions — USD'!B61),1),IF(DATE(YEAR('01 — Editable assumptions — USD'!B61),MONTH('01 — Editable assumptions — USD'!B61),1)="","",DATE(2026,10,1)=DATE(YEAR('01 — Editable assumptions — USD'!B61),MONTH('01 — Editable assumptions — USD'!B61),1)))),IF('04 — Scenario comparison — Base'!B24="","",'04 — Scenario comparison — Base'!B24),IF('Model inputs'!D98="","",'Model inputs'!D98)))-'07 — Cash projection — hypothet'!B8</f>
        <v>0</v>
      </c>
      <c r="C15" s="15">
        <f>'07 — Cash projection — hypothet'!C10-IF(IF(IF(IF(ISERROR(DATE(2026,11,1)=DATE(YEAR('01 — Editable assumptions — USD'!B61),MONTH('01 — Editable assumptions — USD'!B61),1)),DATE(2026,11,1)=DATE(YEAR('01 — Editable assumptions — USD'!B61),MONTH('01 — Editable assumptions — USD'!B61),1),IF(DATE(YEAR('01 — Editable assumptions — USD'!B61),MONTH('01 — Editable assumptions — USD'!B61),1)="","",DATE(2026,11,1)=DATE(YEAR('01 — Editable assumptions — USD'!B61),MONTH('01 — Editable assumptions — USD'!B61),1)))="",FALSE,IF(ISERROR(DATE(2026,11,1)=DATE(YEAR('01 — Editable assumptions — USD'!B61),MONTH('01 — Editable assumptions — USD'!B61),1)),DATE(2026,11,1)=DATE(YEAR('01 — Editable assumptions — USD'!B61),MONTH('01 — Editable assumptions — USD'!B61),1),IF(DATE(YEAR('01 — Editable assumptions — USD'!B61),MONTH('01 — Editable assumptions — USD'!B61),1)="","",DATE(2026,11,1)=DATE(YEAR('01 — Editable assumptions — USD'!B61),MONTH('01 — Editable assumptions — USD'!B61),1)))),IF('04 — Scenario comparison — Base'!B24="","",'04 — Scenario comparison — Base'!B24),IF('07 — Cash projection — hypothet'!B10="","",'07 — Cash projection — hypothet'!B10))="",0,IF(IF(IF(ISERROR(DATE(2026,11,1)=DATE(YEAR('01 — Editable assumptions — USD'!B61),MONTH('01 — Editable assumptions — USD'!B61),1)),DATE(2026,11,1)=DATE(YEAR('01 — Editable assumptions — USD'!B61),MONTH('01 — Editable assumptions — USD'!B61),1),IF(DATE(YEAR('01 — Editable assumptions — USD'!B61),MONTH('01 — Editable assumptions — USD'!B61),1)="","",DATE(2026,11,1)=DATE(YEAR('01 — Editable assumptions — USD'!B61),MONTH('01 — Editable assumptions — USD'!B61),1)))="",FALSE,IF(ISERROR(DATE(2026,11,1)=DATE(YEAR('01 — Editable assumptions — USD'!B61),MONTH('01 — Editable assumptions — USD'!B61),1)),DATE(2026,11,1)=DATE(YEAR('01 — Editable assumptions — USD'!B61),MONTH('01 — Editable assumptions — USD'!B61),1),IF(DATE(YEAR('01 — Editable assumptions — USD'!B61),MONTH('01 — Editable assumptions — USD'!B61),1)="","",DATE(2026,11,1)=DATE(YEAR('01 — Editable assumptions — USD'!B61),MONTH('01 — Editable assumptions — USD'!B61),1)))),IF('04 — Scenario comparison — Base'!B24="","",'04 — Scenario comparison — Base'!B24),IF('07 — Cash projection — hypothet'!B10="","",'07 — Cash projection — hypothet'!B10)))-'07 — Cash projection — hypothet'!C8</f>
        <v>0</v>
      </c>
      <c r="D15" s="15">
        <f>'07 — Cash projection — hypothet'!D10-IF(IF(IF(IF(ISERROR(DATE(2026,12,1)=DATE(YEAR('01 — Editable assumptions — USD'!B61),MONTH('01 — Editable assumptions — USD'!B61),1)),DATE(2026,12,1)=DATE(YEAR('01 — Editable assumptions — USD'!B61),MONTH('01 — Editable assumptions — USD'!B61),1),IF(DATE(YEAR('01 — Editable assumptions — USD'!B61),MONTH('01 — Editable assumptions — USD'!B61),1)="","",DATE(2026,12,1)=DATE(YEAR('01 — Editable assumptions — USD'!B61),MONTH('01 — Editable assumptions — USD'!B61),1)))="",FALSE,IF(ISERROR(DATE(2026,12,1)=DATE(YEAR('01 — Editable assumptions — USD'!B61),MONTH('01 — Editable assumptions — USD'!B61),1)),DATE(2026,12,1)=DATE(YEAR('01 — Editable assumptions — USD'!B61),MONTH('01 — Editable assumptions — USD'!B61),1),IF(DATE(YEAR('01 — Editable assumptions — USD'!B61),MONTH('01 — Editable assumptions — USD'!B61),1)="","",DATE(2026,12,1)=DATE(YEAR('01 — Editable assumptions — USD'!B61),MONTH('01 — Editable assumptions — USD'!B61),1)))),IF('04 — Scenario comparison — Base'!B24="","",'04 — Scenario comparison — Base'!B24),IF('07 — Cash projection — hypothet'!C10="","",'07 — Cash projection — hypothet'!C10))="",0,IF(IF(IF(ISERROR(DATE(2026,12,1)=DATE(YEAR('01 — Editable assumptions — USD'!B61),MONTH('01 — Editable assumptions — USD'!B61),1)),DATE(2026,12,1)=DATE(YEAR('01 — Editable assumptions — USD'!B61),MONTH('01 — Editable assumptions — USD'!B61),1),IF(DATE(YEAR('01 — Editable assumptions — USD'!B61),MONTH('01 — Editable assumptions — USD'!B61),1)="","",DATE(2026,12,1)=DATE(YEAR('01 — Editable assumptions — USD'!B61),MONTH('01 — Editable assumptions — USD'!B61),1)))="",FALSE,IF(ISERROR(DATE(2026,12,1)=DATE(YEAR('01 — Editable assumptions — USD'!B61),MONTH('01 — Editable assumptions — USD'!B61),1)),DATE(2026,12,1)=DATE(YEAR('01 — Editable assumptions — USD'!B61),MONTH('01 — Editable assumptions — USD'!B61),1),IF(DATE(YEAR('01 — Editable assumptions — USD'!B61),MONTH('01 — Editable assumptions — USD'!B61),1)="","",DATE(2026,12,1)=DATE(YEAR('01 — Editable assumptions — USD'!B61),MONTH('01 — Editable assumptions — USD'!B61),1)))),IF('04 — Scenario comparison — Base'!B24="","",'04 — Scenario comparison — Base'!B24),IF('07 — Cash projection — hypothet'!C10="","",'07 — Cash projection — hypothet'!C10)))-'07 — Cash projection — hypothet'!D8</f>
        <v>0</v>
      </c>
      <c r="E15" s="15">
        <f>'07 — Cash projection — hypothet'!E10-IF(IF(IF(IF(ISERROR(DATE(2027,1,1)=DATE(YEAR('01 — Editable assumptions — USD'!B61),MONTH('01 — Editable assumptions — USD'!B61),1)),DATE(2027,1,1)=DATE(YEAR('01 — Editable assumptions — USD'!B61),MONTH('01 — Editable assumptions — USD'!B61),1),IF(DATE(YEAR('01 — Editable assumptions — USD'!B61),MONTH('01 — Editable assumptions — USD'!B61),1)="","",DATE(2027,1,1)=DATE(YEAR('01 — Editable assumptions — USD'!B61),MONTH('01 — Editable assumptions — USD'!B61),1)))="",FALSE,IF(ISERROR(DATE(2027,1,1)=DATE(YEAR('01 — Editable assumptions — USD'!B61),MONTH('01 — Editable assumptions — USD'!B61),1)),DATE(2027,1,1)=DATE(YEAR('01 — Editable assumptions — USD'!B61),MONTH('01 — Editable assumptions — USD'!B61),1),IF(DATE(YEAR('01 — Editable assumptions — USD'!B61),MONTH('01 — Editable assumptions — USD'!B61),1)="","",DATE(2027,1,1)=DATE(YEAR('01 — Editable assumptions — USD'!B61),MONTH('01 — Editable assumptions — USD'!B61),1)))),IF('04 — Scenario comparison — Base'!B24="","",'04 — Scenario comparison — Base'!B24),IF('07 — Cash projection — hypothet'!D10="","",'07 — Cash projection — hypothet'!D10))="",0,IF(IF(IF(ISERROR(DATE(2027,1,1)=DATE(YEAR('01 — Editable assumptions — USD'!B61),MONTH('01 — Editable assumptions — USD'!B61),1)),DATE(2027,1,1)=DATE(YEAR('01 — Editable assumptions — USD'!B61),MONTH('01 — Editable assumptions — USD'!B61),1),IF(DATE(YEAR('01 — Editable assumptions — USD'!B61),MONTH('01 — Editable assumptions — USD'!B61),1)="","",DATE(2027,1,1)=DATE(YEAR('01 — Editable assumptions — USD'!B61),MONTH('01 — Editable assumptions — USD'!B61),1)))="",FALSE,IF(ISERROR(DATE(2027,1,1)=DATE(YEAR('01 — Editable assumptions — USD'!B61),MONTH('01 — Editable assumptions — USD'!B61),1)),DATE(2027,1,1)=DATE(YEAR('01 — Editable assumptions — USD'!B61),MONTH('01 — Editable assumptions — USD'!B61),1),IF(DATE(YEAR('01 — Editable assumptions — USD'!B61),MONTH('01 — Editable assumptions — USD'!B61),1)="","",DATE(2027,1,1)=DATE(YEAR('01 — Editable assumptions — USD'!B61),MONTH('01 — Editable assumptions — USD'!B61),1)))),IF('04 — Scenario comparison — Base'!B24="","",'04 — Scenario comparison — Base'!B24),IF('07 — Cash projection — hypothet'!D10="","",'07 — Cash projection — hypothet'!D10)))-'07 — Cash projection — hypothet'!E8</f>
        <v>0</v>
      </c>
      <c r="F15" s="15">
        <f>'07 — Cash projection — hypothet'!F10-IF(IF(IF(IF(ISERROR(DATE(2027,2,1)=DATE(YEAR('01 — Editable assumptions — USD'!B61),MONTH('01 — Editable assumptions — USD'!B61),1)),DATE(2027,2,1)=DATE(YEAR('01 — Editable assumptions — USD'!B61),MONTH('01 — Editable assumptions — USD'!B61),1),IF(DATE(YEAR('01 — Editable assumptions — USD'!B61),MONTH('01 — Editable assumptions — USD'!B61),1)="","",DATE(2027,2,1)=DATE(YEAR('01 — Editable assumptions — USD'!B61),MONTH('01 — Editable assumptions — USD'!B61),1)))="",FALSE,IF(ISERROR(DATE(2027,2,1)=DATE(YEAR('01 — Editable assumptions — USD'!B61),MONTH('01 — Editable assumptions — USD'!B61),1)),DATE(2027,2,1)=DATE(YEAR('01 — Editable assumptions — USD'!B61),MONTH('01 — Editable assumptions — USD'!B61),1),IF(DATE(YEAR('01 — Editable assumptions — USD'!B61),MONTH('01 — Editable assumptions — USD'!B61),1)="","",DATE(2027,2,1)=DATE(YEAR('01 — Editable assumptions — USD'!B61),MONTH('01 — Editable assumptions — USD'!B61),1)))),IF('04 — Scenario comparison — Base'!B24="","",'04 — Scenario comparison — Base'!B24),IF('07 — Cash projection — hypothet'!E10="","",'07 — Cash projection — hypothet'!E10))="",0,IF(IF(IF(ISERROR(DATE(2027,2,1)=DATE(YEAR('01 — Editable assumptions — USD'!B61),MONTH('01 — Editable assumptions — USD'!B61),1)),DATE(2027,2,1)=DATE(YEAR('01 — Editable assumptions — USD'!B61),MONTH('01 — Editable assumptions — USD'!B61),1),IF(DATE(YEAR('01 — Editable assumptions — USD'!B61),MONTH('01 — Editable assumptions — USD'!B61),1)="","",DATE(2027,2,1)=DATE(YEAR('01 — Editable assumptions — USD'!B61),MONTH('01 — Editable assumptions — USD'!B61),1)))="",FALSE,IF(ISERROR(DATE(2027,2,1)=DATE(YEAR('01 — Editable assumptions — USD'!B61),MONTH('01 — Editable assumptions — USD'!B61),1)),DATE(2027,2,1)=DATE(YEAR('01 — Editable assumptions — USD'!B61),MONTH('01 — Editable assumptions — USD'!B61),1),IF(DATE(YEAR('01 — Editable assumptions — USD'!B61),MONTH('01 — Editable assumptions — USD'!B61),1)="","",DATE(2027,2,1)=DATE(YEAR('01 — Editable assumptions — USD'!B61),MONTH('01 — Editable assumptions — USD'!B61),1)))),IF('04 — Scenario comparison — Base'!B24="","",'04 — Scenario comparison — Base'!B24),IF('07 — Cash projection — hypothet'!E10="","",'07 — Cash projection — hypothet'!E10)))-'07 — Cash projection — hypothet'!F8</f>
        <v>0</v>
      </c>
      <c r="G15" s="15">
        <f>'07 — Cash projection — hypothet'!G10-IF(IF(IF(IF(ISERROR(DATE(2027,3,1)=DATE(YEAR('01 — Editable assumptions — USD'!B61),MONTH('01 — Editable assumptions — USD'!B61),1)),DATE(2027,3,1)=DATE(YEAR('01 — Editable assumptions — USD'!B61),MONTH('01 — Editable assumptions — USD'!B61),1),IF(DATE(YEAR('01 — Editable assumptions — USD'!B61),MONTH('01 — Editable assumptions — USD'!B61),1)="","",DATE(2027,3,1)=DATE(YEAR('01 — Editable assumptions — USD'!B61),MONTH('01 — Editable assumptions — USD'!B61),1)))="",FALSE,IF(ISERROR(DATE(2027,3,1)=DATE(YEAR('01 — Editable assumptions — USD'!B61),MONTH('01 — Editable assumptions — USD'!B61),1)),DATE(2027,3,1)=DATE(YEAR('01 — Editable assumptions — USD'!B61),MONTH('01 — Editable assumptions — USD'!B61),1),IF(DATE(YEAR('01 — Editable assumptions — USD'!B61),MONTH('01 — Editable assumptions — USD'!B61),1)="","",DATE(2027,3,1)=DATE(YEAR('01 — Editable assumptions — USD'!B61),MONTH('01 — Editable assumptions — USD'!B61),1)))),IF('04 — Scenario comparison — Base'!B24="","",'04 — Scenario comparison — Base'!B24),IF('07 — Cash projection — hypothet'!F10="","",'07 — Cash projection — hypothet'!F10))="",0,IF(IF(IF(ISERROR(DATE(2027,3,1)=DATE(YEAR('01 — Editable assumptions — USD'!B61),MONTH('01 — Editable assumptions — USD'!B61),1)),DATE(2027,3,1)=DATE(YEAR('01 — Editable assumptions — USD'!B61),MONTH('01 — Editable assumptions — USD'!B61),1),IF(DATE(YEAR('01 — Editable assumptions — USD'!B61),MONTH('01 — Editable assumptions — USD'!B61),1)="","",DATE(2027,3,1)=DATE(YEAR('01 — Editable assumptions — USD'!B61),MONTH('01 — Editable assumptions — USD'!B61),1)))="",FALSE,IF(ISERROR(DATE(2027,3,1)=DATE(YEAR('01 — Editable assumptions — USD'!B61),MONTH('01 — Editable assumptions — USD'!B61),1)),DATE(2027,3,1)=DATE(YEAR('01 — Editable assumptions — USD'!B61),MONTH('01 — Editable assumptions — USD'!B61),1),IF(DATE(YEAR('01 — Editable assumptions — USD'!B61),MONTH('01 — Editable assumptions — USD'!B61),1)="","",DATE(2027,3,1)=DATE(YEAR('01 — Editable assumptions — USD'!B61),MONTH('01 — Editable assumptions — USD'!B61),1)))),IF('04 — Scenario comparison — Base'!B24="","",'04 — Scenario comparison — Base'!B24),IF('07 — Cash projection — hypothet'!F10="","",'07 — Cash projection — hypothet'!F10)))-'07 — Cash projection — hypothet'!G8</f>
        <v>0</v>
      </c>
      <c r="H15" s="15">
        <f>'07 — Cash projection — hypothet'!H10-IF(IF(IF(IF(ISERROR(DATE(2027,4,1)=DATE(YEAR('01 — Editable assumptions — USD'!B61),MONTH('01 — Editable assumptions — USD'!B61),1)),DATE(2027,4,1)=DATE(YEAR('01 — Editable assumptions — USD'!B61),MONTH('01 — Editable assumptions — USD'!B61),1),IF(DATE(YEAR('01 — Editable assumptions — USD'!B61),MONTH('01 — Editable assumptions — USD'!B61),1)="","",DATE(2027,4,1)=DATE(YEAR('01 — Editable assumptions — USD'!B61),MONTH('01 — Editable assumptions — USD'!B61),1)))="",FALSE,IF(ISERROR(DATE(2027,4,1)=DATE(YEAR('01 — Editable assumptions — USD'!B61),MONTH('01 — Editable assumptions — USD'!B61),1)),DATE(2027,4,1)=DATE(YEAR('01 — Editable assumptions — USD'!B61),MONTH('01 — Editable assumptions — USD'!B61),1),IF(DATE(YEAR('01 — Editable assumptions — USD'!B61),MONTH('01 — Editable assumptions — USD'!B61),1)="","",DATE(2027,4,1)=DATE(YEAR('01 — Editable assumptions — USD'!B61),MONTH('01 — Editable assumptions — USD'!B61),1)))),IF('04 — Scenario comparison — Base'!B24="","",'04 — Scenario comparison — Base'!B24),IF('07 — Cash projection — hypothet'!G10="","",'07 — Cash projection — hypothet'!G10))="",0,IF(IF(IF(ISERROR(DATE(2027,4,1)=DATE(YEAR('01 — Editable assumptions — USD'!B61),MONTH('01 — Editable assumptions — USD'!B61),1)),DATE(2027,4,1)=DATE(YEAR('01 — Editable assumptions — USD'!B61),MONTH('01 — Editable assumptions — USD'!B61),1),IF(DATE(YEAR('01 — Editable assumptions — USD'!B61),MONTH('01 — Editable assumptions — USD'!B61),1)="","",DATE(2027,4,1)=DATE(YEAR('01 — Editable assumptions — USD'!B61),MONTH('01 — Editable assumptions — USD'!B61),1)))="",FALSE,IF(ISERROR(DATE(2027,4,1)=DATE(YEAR('01 — Editable assumptions — USD'!B61),MONTH('01 — Editable assumptions — USD'!B61),1)),DATE(2027,4,1)=DATE(YEAR('01 — Editable assumptions — USD'!B61),MONTH('01 — Editable assumptions — USD'!B61),1),IF(DATE(YEAR('01 — Editable assumptions — USD'!B61),MONTH('01 — Editable assumptions — USD'!B61),1)="","",DATE(2027,4,1)=DATE(YEAR('01 — Editable assumptions — USD'!B61),MONTH('01 — Editable assumptions — USD'!B61),1)))),IF('04 — Scenario comparison — Base'!B24="","",'04 — Scenario comparison — Base'!B24),IF('07 — Cash projection — hypothet'!G10="","",'07 — Cash projection — hypothet'!G10)))-'07 — Cash projection — hypothet'!H8</f>
        <v>0</v>
      </c>
      <c r="I15" s="15">
        <f>'07 — Cash projection — hypothet'!I10-IF(IF(IF(IF(ISERROR(DATE(2027,5,1)=DATE(YEAR('01 — Editable assumptions — USD'!B61),MONTH('01 — Editable assumptions — USD'!B61),1)),DATE(2027,5,1)=DATE(YEAR('01 — Editable assumptions — USD'!B61),MONTH('01 — Editable assumptions — USD'!B61),1),IF(DATE(YEAR('01 — Editable assumptions — USD'!B61),MONTH('01 — Editable assumptions — USD'!B61),1)="","",DATE(2027,5,1)=DATE(YEAR('01 — Editable assumptions — USD'!B61),MONTH('01 — Editable assumptions — USD'!B61),1)))="",FALSE,IF(ISERROR(DATE(2027,5,1)=DATE(YEAR('01 — Editable assumptions — USD'!B61),MONTH('01 — Editable assumptions — USD'!B61),1)),DATE(2027,5,1)=DATE(YEAR('01 — Editable assumptions — USD'!B61),MONTH('01 — Editable assumptions — USD'!B61),1),IF(DATE(YEAR('01 — Editable assumptions — USD'!B61),MONTH('01 — Editable assumptions — USD'!B61),1)="","",DATE(2027,5,1)=DATE(YEAR('01 — Editable assumptions — USD'!B61),MONTH('01 — Editable assumptions — USD'!B61),1)))),IF('04 — Scenario comparison — Base'!B24="","",'04 — Scenario comparison — Base'!B24),IF('07 — Cash projection — hypothet'!H10="","",'07 — Cash projection — hypothet'!H10))="",0,IF(IF(IF(ISERROR(DATE(2027,5,1)=DATE(YEAR('01 — Editable assumptions — USD'!B61),MONTH('01 — Editable assumptions — USD'!B61),1)),DATE(2027,5,1)=DATE(YEAR('01 — Editable assumptions — USD'!B61),MONTH('01 — Editable assumptions — USD'!B61),1),IF(DATE(YEAR('01 — Editable assumptions — USD'!B61),MONTH('01 — Editable assumptions — USD'!B61),1)="","",DATE(2027,5,1)=DATE(YEAR('01 — Editable assumptions — USD'!B61),MONTH('01 — Editable assumptions — USD'!B61),1)))="",FALSE,IF(ISERROR(DATE(2027,5,1)=DATE(YEAR('01 — Editable assumptions — USD'!B61),MONTH('01 — Editable assumptions — USD'!B61),1)),DATE(2027,5,1)=DATE(YEAR('01 — Editable assumptions — USD'!B61),MONTH('01 — Editable assumptions — USD'!B61),1),IF(DATE(YEAR('01 — Editable assumptions — USD'!B61),MONTH('01 — Editable assumptions — USD'!B61),1)="","",DATE(2027,5,1)=DATE(YEAR('01 — Editable assumptions — USD'!B61),MONTH('01 — Editable assumptions — USD'!B61),1)))),IF('04 — Scenario comparison — Base'!B24="","",'04 — Scenario comparison — Base'!B24),IF('07 — Cash projection — hypothet'!H10="","",'07 — Cash projection — hypothet'!H10)))-'07 — Cash projection — hypothet'!I8</f>
        <v>0</v>
      </c>
      <c r="J15" s="15">
        <f>'07 — Cash projection — hypothet'!J10-IF(IF(IF(IF(ISERROR(DATE(2027,6,1)=DATE(YEAR('01 — Editable assumptions — USD'!B61),MONTH('01 — Editable assumptions — USD'!B61),1)),DATE(2027,6,1)=DATE(YEAR('01 — Editable assumptions — USD'!B61),MONTH('01 — Editable assumptions — USD'!B61),1),IF(DATE(YEAR('01 — Editable assumptions — USD'!B61),MONTH('01 — Editable assumptions — USD'!B61),1)="","",DATE(2027,6,1)=DATE(YEAR('01 — Editable assumptions — USD'!B61),MONTH('01 — Editable assumptions — USD'!B61),1)))="",FALSE,IF(ISERROR(DATE(2027,6,1)=DATE(YEAR('01 — Editable assumptions — USD'!B61),MONTH('01 — Editable assumptions — USD'!B61),1)),DATE(2027,6,1)=DATE(YEAR('01 — Editable assumptions — USD'!B61),MONTH('01 — Editable assumptions — USD'!B61),1),IF(DATE(YEAR('01 — Editable assumptions — USD'!B61),MONTH('01 — Editable assumptions — USD'!B61),1)="","",DATE(2027,6,1)=DATE(YEAR('01 — Editable assumptions — USD'!B61),MONTH('01 — Editable assumptions — USD'!B61),1)))),IF('04 — Scenario comparison — Base'!B24="","",'04 — Scenario comparison — Base'!B24),IF('07 — Cash projection — hypothet'!I10="","",'07 — Cash projection — hypothet'!I10))="",0,IF(IF(IF(ISERROR(DATE(2027,6,1)=DATE(YEAR('01 — Editable assumptions — USD'!B61),MONTH('01 — Editable assumptions — USD'!B61),1)),DATE(2027,6,1)=DATE(YEAR('01 — Editable assumptions — USD'!B61),MONTH('01 — Editable assumptions — USD'!B61),1),IF(DATE(YEAR('01 — Editable assumptions — USD'!B61),MONTH('01 — Editable assumptions — USD'!B61),1)="","",DATE(2027,6,1)=DATE(YEAR('01 — Editable assumptions — USD'!B61),MONTH('01 — Editable assumptions — USD'!B61),1)))="",FALSE,IF(ISERROR(DATE(2027,6,1)=DATE(YEAR('01 — Editable assumptions — USD'!B61),MONTH('01 — Editable assumptions — USD'!B61),1)),DATE(2027,6,1)=DATE(YEAR('01 — Editable assumptions — USD'!B61),MONTH('01 — Editable assumptions — USD'!B61),1),IF(DATE(YEAR('01 — Editable assumptions — USD'!B61),MONTH('01 — Editable assumptions — USD'!B61),1)="","",DATE(2027,6,1)=DATE(YEAR('01 — Editable assumptions — USD'!B61),MONTH('01 — Editable assumptions — USD'!B61),1)))),IF('04 — Scenario comparison — Base'!B24="","",'04 — Scenario comparison — Base'!B24),IF('07 — Cash projection — hypothet'!I10="","",'07 — Cash projection — hypothet'!I10)))-'07 — Cash projection — hypothet'!J8</f>
        <v>0</v>
      </c>
      <c r="K15" s="15">
        <f>'07 — Cash projection — hypothet'!K10-IF(IF(IF(IF(ISERROR(DATE(2027,7,1)=DATE(YEAR('01 — Editable assumptions — USD'!B61),MONTH('01 — Editable assumptions — USD'!B61),1)),DATE(2027,7,1)=DATE(YEAR('01 — Editable assumptions — USD'!B61),MONTH('01 — Editable assumptions — USD'!B61),1),IF(DATE(YEAR('01 — Editable assumptions — USD'!B61),MONTH('01 — Editable assumptions — USD'!B61),1)="","",DATE(2027,7,1)=DATE(YEAR('01 — Editable assumptions — USD'!B61),MONTH('01 — Editable assumptions — USD'!B61),1)))="",FALSE,IF(ISERROR(DATE(2027,7,1)=DATE(YEAR('01 — Editable assumptions — USD'!B61),MONTH('01 — Editable assumptions — USD'!B61),1)),DATE(2027,7,1)=DATE(YEAR('01 — Editable assumptions — USD'!B61),MONTH('01 — Editable assumptions — USD'!B61),1),IF(DATE(YEAR('01 — Editable assumptions — USD'!B61),MONTH('01 — Editable assumptions — USD'!B61),1)="","",DATE(2027,7,1)=DATE(YEAR('01 — Editable assumptions — USD'!B61),MONTH('01 — Editable assumptions — USD'!B61),1)))),IF('04 — Scenario comparison — Base'!B24="","",'04 — Scenario comparison — Base'!B24),IF('07 — Cash projection — hypothet'!J10="","",'07 — Cash projection — hypothet'!J10))="",0,IF(IF(IF(ISERROR(DATE(2027,7,1)=DATE(YEAR('01 — Editable assumptions — USD'!B61),MONTH('01 — Editable assumptions — USD'!B61),1)),DATE(2027,7,1)=DATE(YEAR('01 — Editable assumptions — USD'!B61),MONTH('01 — Editable assumptions — USD'!B61),1),IF(DATE(YEAR('01 — Editable assumptions — USD'!B61),MONTH('01 — Editable assumptions — USD'!B61),1)="","",DATE(2027,7,1)=DATE(YEAR('01 — Editable assumptions — USD'!B61),MONTH('01 — Editable assumptions — USD'!B61),1)))="",FALSE,IF(ISERROR(DATE(2027,7,1)=DATE(YEAR('01 — Editable assumptions — USD'!B61),MONTH('01 — Editable assumptions — USD'!B61),1)),DATE(2027,7,1)=DATE(YEAR('01 — Editable assumptions — USD'!B61),MONTH('01 — Editable assumptions — USD'!B61),1),IF(DATE(YEAR('01 — Editable assumptions — USD'!B61),MONTH('01 — Editable assumptions — USD'!B61),1)="","",DATE(2027,7,1)=DATE(YEAR('01 — Editable assumptions — USD'!B61),MONTH('01 — Editable assumptions — USD'!B61),1)))),IF('04 — Scenario comparison — Base'!B24="","",'04 — Scenario comparison — Base'!B24),IF('07 — Cash projection — hypothet'!J10="","",'07 — Cash projection — hypothet'!J10)))-'07 — Cash projection — hypothet'!K8</f>
        <v>0.0000000000004547473508864641</v>
      </c>
      <c r="L15" s="15">
        <f>'07 — Cash projection — hypothet'!L10-IF(IF(IF(IF(ISERROR(DATE(2027,8,1)=DATE(YEAR('01 — Editable assumptions — USD'!B61),MONTH('01 — Editable assumptions — USD'!B61),1)),DATE(2027,8,1)=DATE(YEAR('01 — Editable assumptions — USD'!B61),MONTH('01 — Editable assumptions — USD'!B61),1),IF(DATE(YEAR('01 — Editable assumptions — USD'!B61),MONTH('01 — Editable assumptions — USD'!B61),1)="","",DATE(2027,8,1)=DATE(YEAR('01 — Editable assumptions — USD'!B61),MONTH('01 — Editable assumptions — USD'!B61),1)))="",FALSE,IF(ISERROR(DATE(2027,8,1)=DATE(YEAR('01 — Editable assumptions — USD'!B61),MONTH('01 — Editable assumptions — USD'!B61),1)),DATE(2027,8,1)=DATE(YEAR('01 — Editable assumptions — USD'!B61),MONTH('01 — Editable assumptions — USD'!B61),1),IF(DATE(YEAR('01 — Editable assumptions — USD'!B61),MONTH('01 — Editable assumptions — USD'!B61),1)="","",DATE(2027,8,1)=DATE(YEAR('01 — Editable assumptions — USD'!B61),MONTH('01 — Editable assumptions — USD'!B61),1)))),IF('04 — Scenario comparison — Base'!B24="","",'04 — Scenario comparison — Base'!B24),IF('07 — Cash projection — hypothet'!K10="","",'07 — Cash projection — hypothet'!K10))="",0,IF(IF(IF(ISERROR(DATE(2027,8,1)=DATE(YEAR('01 — Editable assumptions — USD'!B61),MONTH('01 — Editable assumptions — USD'!B61),1)),DATE(2027,8,1)=DATE(YEAR('01 — Editable assumptions — USD'!B61),MONTH('01 — Editable assumptions — USD'!B61),1),IF(DATE(YEAR('01 — Editable assumptions — USD'!B61),MONTH('01 — Editable assumptions — USD'!B61),1)="","",DATE(2027,8,1)=DATE(YEAR('01 — Editable assumptions — USD'!B61),MONTH('01 — Editable assumptions — USD'!B61),1)))="",FALSE,IF(ISERROR(DATE(2027,8,1)=DATE(YEAR('01 — Editable assumptions — USD'!B61),MONTH('01 — Editable assumptions — USD'!B61),1)),DATE(2027,8,1)=DATE(YEAR('01 — Editable assumptions — USD'!B61),MONTH('01 — Editable assumptions — USD'!B61),1),IF(DATE(YEAR('01 — Editable assumptions — USD'!B61),MONTH('01 — Editable assumptions — USD'!B61),1)="","",DATE(2027,8,1)=DATE(YEAR('01 — Editable assumptions — USD'!B61),MONTH('01 — Editable assumptions — USD'!B61),1)))),IF('04 — Scenario comparison — Base'!B24="","",'04 — Scenario comparison — Base'!B24),IF('07 — Cash projection — hypothet'!K10="","",'07 — Cash projection — hypothet'!K10)))-'07 — Cash projection — hypothet'!L8</f>
        <v>-0.0000000000004547473508864641</v>
      </c>
      <c r="M15" s="15">
        <f>'07 — Cash projection — hypothet'!M10-IF(IF(IF(IF(ISERROR(DATE(2027,9,1)=DATE(YEAR('01 — Editable assumptions — USD'!B61),MONTH('01 — Editable assumptions — USD'!B61),1)),DATE(2027,9,1)=DATE(YEAR('01 — Editable assumptions — USD'!B61),MONTH('01 — Editable assumptions — USD'!B61),1),IF(DATE(YEAR('01 — Editable assumptions — USD'!B61),MONTH('01 — Editable assumptions — USD'!B61),1)="","",DATE(2027,9,1)=DATE(YEAR('01 — Editable assumptions — USD'!B61),MONTH('01 — Editable assumptions — USD'!B61),1)))="",FALSE,IF(ISERROR(DATE(2027,9,1)=DATE(YEAR('01 — Editable assumptions — USD'!B61),MONTH('01 — Editable assumptions — USD'!B61),1)),DATE(2027,9,1)=DATE(YEAR('01 — Editable assumptions — USD'!B61),MONTH('01 — Editable assumptions — USD'!B61),1),IF(DATE(YEAR('01 — Editable assumptions — USD'!B61),MONTH('01 — Editable assumptions — USD'!B61),1)="","",DATE(2027,9,1)=DATE(YEAR('01 — Editable assumptions — USD'!B61),MONTH('01 — Editable assumptions — USD'!B61),1)))),IF('04 — Scenario comparison — Base'!B24="","",'04 — Scenario comparison — Base'!B24),IF('07 — Cash projection — hypothet'!L10="","",'07 — Cash projection — hypothet'!L10))="",0,IF(IF(IF(ISERROR(DATE(2027,9,1)=DATE(YEAR('01 — Editable assumptions — USD'!B61),MONTH('01 — Editable assumptions — USD'!B61),1)),DATE(2027,9,1)=DATE(YEAR('01 — Editable assumptions — USD'!B61),MONTH('01 — Editable assumptions — USD'!B61),1),IF(DATE(YEAR('01 — Editable assumptions — USD'!B61),MONTH('01 — Editable assumptions — USD'!B61),1)="","",DATE(2027,9,1)=DATE(YEAR('01 — Editable assumptions — USD'!B61),MONTH('01 — Editable assumptions — USD'!B61),1)))="",FALSE,IF(ISERROR(DATE(2027,9,1)=DATE(YEAR('01 — Editable assumptions — USD'!B61),MONTH('01 — Editable assumptions — USD'!B61),1)),DATE(2027,9,1)=DATE(YEAR('01 — Editable assumptions — USD'!B61),MONTH('01 — Editable assumptions — USD'!B61),1),IF(DATE(YEAR('01 — Editable assumptions — USD'!B61),MONTH('01 — Editable assumptions — USD'!B61),1)="","",DATE(2027,9,1)=DATE(YEAR('01 — Editable assumptions — USD'!B61),MONTH('01 — Editable assumptions — USD'!B61),1)))),IF('04 — Scenario comparison — Base'!B24="","",'04 — Scenario comparison — Base'!B24),IF('07 — Cash projection — hypothet'!L10="","",'07 — Cash projection — hypothet'!L10)))-'07 — Cash projection — hypothet'!M8</f>
        <v>-0.0000000000004547473508864641</v>
      </c>
      <c r="N15" s="15">
        <f>'07 — Cash projection — hypothet'!N10-IF(IF(IF(IF(ISERROR(DATE(2027,10,1)=DATE(YEAR('01 — Editable assumptions — USD'!B61),MONTH('01 — Editable assumptions — USD'!B61),1)),DATE(2027,10,1)=DATE(YEAR('01 — Editable assumptions — USD'!B61),MONTH('01 — Editable assumptions — USD'!B61),1),IF(DATE(YEAR('01 — Editable assumptions — USD'!B61),MONTH('01 — Editable assumptions — USD'!B61),1)="","",DATE(2027,10,1)=DATE(YEAR('01 — Editable assumptions — USD'!B61),MONTH('01 — Editable assumptions — USD'!B61),1)))="",FALSE,IF(ISERROR(DATE(2027,10,1)=DATE(YEAR('01 — Editable assumptions — USD'!B61),MONTH('01 — Editable assumptions — USD'!B61),1)),DATE(2027,10,1)=DATE(YEAR('01 — Editable assumptions — USD'!B61),MONTH('01 — Editable assumptions — USD'!B61),1),IF(DATE(YEAR('01 — Editable assumptions — USD'!B61),MONTH('01 — Editable assumptions — USD'!B61),1)="","",DATE(2027,10,1)=DATE(YEAR('01 — Editable assumptions — USD'!B61),MONTH('01 — Editable assumptions — USD'!B61),1)))),IF('04 — Scenario comparison — Base'!B24="","",'04 — Scenario comparison — Base'!B24),IF('07 — Cash projection — hypothet'!M10="","",'07 — Cash projection — hypothet'!M10))="",0,IF(IF(IF(ISERROR(DATE(2027,10,1)=DATE(YEAR('01 — Editable assumptions — USD'!B61),MONTH('01 — Editable assumptions — USD'!B61),1)),DATE(2027,10,1)=DATE(YEAR('01 — Editable assumptions — USD'!B61),MONTH('01 — Editable assumptions — USD'!B61),1),IF(DATE(YEAR('01 — Editable assumptions — USD'!B61),MONTH('01 — Editable assumptions — USD'!B61),1)="","",DATE(2027,10,1)=DATE(YEAR('01 — Editable assumptions — USD'!B61),MONTH('01 — Editable assumptions — USD'!B61),1)))="",FALSE,IF(ISERROR(DATE(2027,10,1)=DATE(YEAR('01 — Editable assumptions — USD'!B61),MONTH('01 — Editable assumptions — USD'!B61),1)),DATE(2027,10,1)=DATE(YEAR('01 — Editable assumptions — USD'!B61),MONTH('01 — Editable assumptions — USD'!B61),1),IF(DATE(YEAR('01 — Editable assumptions — USD'!B61),MONTH('01 — Editable assumptions — USD'!B61),1)="","",DATE(2027,10,1)=DATE(YEAR('01 — Editable assumptions — USD'!B61),MONTH('01 — Editable assumptions — USD'!B61),1)))),IF('04 — Scenario comparison — Base'!B24="","",'04 — Scenario comparison — Base'!B24),IF('07 — Cash projection — hypothet'!M10="","",'07 — Cash projection — hypothet'!M10)))-'07 — Cash projection — hypothet'!N8</f>
        <v>-0.0000000000004547473508864641</v>
      </c>
      <c r="O15" s="15">
        <f>'07 — Cash projection — hypothet'!O10-IF(IF(IF(IF(ISERROR(DATE(2027,11,1)=DATE(YEAR('01 — Editable assumptions — USD'!B61),MONTH('01 — Editable assumptions — USD'!B61),1)),DATE(2027,11,1)=DATE(YEAR('01 — Editable assumptions — USD'!B61),MONTH('01 — Editable assumptions — USD'!B61),1),IF(DATE(YEAR('01 — Editable assumptions — USD'!B61),MONTH('01 — Editable assumptions — USD'!B61),1)="","",DATE(2027,11,1)=DATE(YEAR('01 — Editable assumptions — USD'!B61),MONTH('01 — Editable assumptions — USD'!B61),1)))="",FALSE,IF(ISERROR(DATE(2027,11,1)=DATE(YEAR('01 — Editable assumptions — USD'!B61),MONTH('01 — Editable assumptions — USD'!B61),1)),DATE(2027,11,1)=DATE(YEAR('01 — Editable assumptions — USD'!B61),MONTH('01 — Editable assumptions — USD'!B61),1),IF(DATE(YEAR('01 — Editable assumptions — USD'!B61),MONTH('01 — Editable assumptions — USD'!B61),1)="","",DATE(2027,11,1)=DATE(YEAR('01 — Editable assumptions — USD'!B61),MONTH('01 — Editable assumptions — USD'!B61),1)))),IF('04 — Scenario comparison — Base'!B24="","",'04 — Scenario comparison — Base'!B24),IF('07 — Cash projection — hypothet'!N10="","",'07 — Cash projection — hypothet'!N10))="",0,IF(IF(IF(ISERROR(DATE(2027,11,1)=DATE(YEAR('01 — Editable assumptions — USD'!B61),MONTH('01 — Editable assumptions — USD'!B61),1)),DATE(2027,11,1)=DATE(YEAR('01 — Editable assumptions — USD'!B61),MONTH('01 — Editable assumptions — USD'!B61),1),IF(DATE(YEAR('01 — Editable assumptions — USD'!B61),MONTH('01 — Editable assumptions — USD'!B61),1)="","",DATE(2027,11,1)=DATE(YEAR('01 — Editable assumptions — USD'!B61),MONTH('01 — Editable assumptions — USD'!B61),1)))="",FALSE,IF(ISERROR(DATE(2027,11,1)=DATE(YEAR('01 — Editable assumptions — USD'!B61),MONTH('01 — Editable assumptions — USD'!B61),1)),DATE(2027,11,1)=DATE(YEAR('01 — Editable assumptions — USD'!B61),MONTH('01 — Editable assumptions — USD'!B61),1),IF(DATE(YEAR('01 — Editable assumptions — USD'!B61),MONTH('01 — Editable assumptions — USD'!B61),1)="","",DATE(2027,11,1)=DATE(YEAR('01 — Editable assumptions — USD'!B61),MONTH('01 — Editable assumptions — USD'!B61),1)))),IF('04 — Scenario comparison — Base'!B24="","",'04 — Scenario comparison — Base'!B24),IF('07 — Cash projection — hypothet'!N10="","",'07 — Cash projection — hypothet'!N10)))-'07 — Cash projection — hypothet'!O8</f>
        <v>-0.0000000000004547473508864641</v>
      </c>
      <c r="P15" s="15">
        <f>'07 — Cash projection — hypothet'!P10-IF(IF(IF(IF(ISERROR(DATE(2027,12,1)=DATE(YEAR('01 — Editable assumptions — USD'!B61),MONTH('01 — Editable assumptions — USD'!B61),1)),DATE(2027,12,1)=DATE(YEAR('01 — Editable assumptions — USD'!B61),MONTH('01 — Editable assumptions — USD'!B61),1),IF(DATE(YEAR('01 — Editable assumptions — USD'!B61),MONTH('01 — Editable assumptions — USD'!B61),1)="","",DATE(2027,12,1)=DATE(YEAR('01 — Editable assumptions — USD'!B61),MONTH('01 — Editable assumptions — USD'!B61),1)))="",FALSE,IF(ISERROR(DATE(2027,12,1)=DATE(YEAR('01 — Editable assumptions — USD'!B61),MONTH('01 — Editable assumptions — USD'!B61),1)),DATE(2027,12,1)=DATE(YEAR('01 — Editable assumptions — USD'!B61),MONTH('01 — Editable assumptions — USD'!B61),1),IF(DATE(YEAR('01 — Editable assumptions — USD'!B61),MONTH('01 — Editable assumptions — USD'!B61),1)="","",DATE(2027,12,1)=DATE(YEAR('01 — Editable assumptions — USD'!B61),MONTH('01 — Editable assumptions — USD'!B61),1)))),IF('04 — Scenario comparison — Base'!B24="","",'04 — Scenario comparison — Base'!B24),IF('07 — Cash projection — hypothet'!O10="","",'07 — Cash projection — hypothet'!O10))="",0,IF(IF(IF(ISERROR(DATE(2027,12,1)=DATE(YEAR('01 — Editable assumptions — USD'!B61),MONTH('01 — Editable assumptions — USD'!B61),1)),DATE(2027,12,1)=DATE(YEAR('01 — Editable assumptions — USD'!B61),MONTH('01 — Editable assumptions — USD'!B61),1),IF(DATE(YEAR('01 — Editable assumptions — USD'!B61),MONTH('01 — Editable assumptions — USD'!B61),1)="","",DATE(2027,12,1)=DATE(YEAR('01 — Editable assumptions — USD'!B61),MONTH('01 — Editable assumptions — USD'!B61),1)))="",FALSE,IF(ISERROR(DATE(2027,12,1)=DATE(YEAR('01 — Editable assumptions — USD'!B61),MONTH('01 — Editable assumptions — USD'!B61),1)),DATE(2027,12,1)=DATE(YEAR('01 — Editable assumptions — USD'!B61),MONTH('01 — Editable assumptions — USD'!B61),1),IF(DATE(YEAR('01 — Editable assumptions — USD'!B61),MONTH('01 — Editable assumptions — USD'!B61),1)="","",DATE(2027,12,1)=DATE(YEAR('01 — Editable assumptions — USD'!B61),MONTH('01 — Editable assumptions — USD'!B61),1)))),IF('04 — Scenario comparison — Base'!B24="","",'04 — Scenario comparison — Base'!B24),IF('07 — Cash projection — hypothet'!O10="","",'07 — Cash projection — hypothet'!O10)))-'07 — Cash projection — hypothet'!P8</f>
        <v>-0.0000000000004547473508864641</v>
      </c>
    </row>
  </sheetData>
  <mergeCells count="1">
    <mergeCell ref="A1:P1"/>
  </mergeCells>
</worksheet>
</file>

<file path=xl/worksheets/sheet7.xml><?xml version="1.0" encoding="utf-8"?>
<worksheet xmlns="http://schemas.openxmlformats.org/spreadsheetml/2006/main">
  <dimension ref="A1:P7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</cols>
  <sheetData>
    <row r="1" ht="32" customHeight="1">
      <c r="A1" t="inlineStr" s="1">
        <is>
          <t xml:space="preserve">06 — Physical economics — conditional only, excluded from sales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TS Physical Item price</t>
        </is>
      </c>
      <c r="C4" t="inlineStr" s="4">
        <is>
          <t xml:space="preserve">TS Physical Print cost</t>
        </is>
      </c>
      <c r="D4" t="inlineStr" s="4">
        <is>
          <t xml:space="preserve">TS Physical Shipping cost</t>
        </is>
      </c>
      <c r="E4" t="inlineStr" s="4">
        <is>
          <t xml:space="preserve">TS Physical Packing cost</t>
        </is>
      </c>
      <c r="F4" t="inlineStr" s="4">
        <is>
          <t xml:space="preserve">TS Physical Receipt</t>
        </is>
      </c>
      <c r="G4" t="inlineStr" s="4">
        <is>
          <t xml:space="preserve">TS Physical Supplier cost</t>
        </is>
      </c>
      <c r="H4" t="inlineStr" s="4">
        <is>
          <t xml:space="preserve">TS Physical Payment fee</t>
        </is>
      </c>
      <c r="I4" t="inlineStr" s="4">
        <is>
          <t xml:space="preserve">TS Physical Reserve per order</t>
        </is>
      </c>
      <c r="J4" t="inlineStr" s="4">
        <is>
          <t xml:space="preserve">TS Physical Contribution</t>
        </is>
      </c>
      <c r="K4" t="inlineStr" s="4">
        <is>
          <t xml:space="preserve">TS Physical Margin</t>
        </is>
      </c>
      <c r="L4" t="inlineStr" s="4">
        <is>
          <t xml:space="preserve">TS Physical Stressed contribution</t>
        </is>
      </c>
      <c r="M4" t="inlineStr" s="4">
        <is>
          <t xml:space="preserve">TS Physical Monthly supplier spend</t>
        </is>
      </c>
      <c r="N4" t="inlineStr" s="4">
        <is>
          <t xml:space="preserve">TS Physical Working cash float</t>
        </is>
      </c>
      <c r="O4" t="inlineStr" s="4">
        <is>
          <t xml:space="preserve">TS Physical Receipt reserve</t>
        </is>
      </c>
      <c r="P4" t="inlineStr" s="4">
        <is>
          <t xml:space="preserve">TS Physical Extra working cash</t>
        </is>
      </c>
    </row>
    <row r="5">
      <c r="A5" t="inlineStr" s="5">
        <is>
          <t xml:space="preserve">Card matte</t>
        </is>
      </c>
      <c r="B5" s="15">
        <f>29</f>
        <v>29</v>
      </c>
      <c r="C5" s="15">
        <f>5</f>
        <v>5</v>
      </c>
      <c r="D5" s="15">
        <f>6</f>
        <v>6</v>
      </c>
      <c r="E5" s="15">
        <f>1</f>
        <v>1</v>
      </c>
      <c r="F5" s="15">
        <f>'06 — Physical economics — condi'!B5+'01 — Editable assumptions — USD'!B45</f>
        <v>35</v>
      </c>
      <c r="G5" s="15">
        <f>'06 — Physical economics — condi'!C5+'06 — Physical economics — condi'!D5+'06 — Physical economics — condi'!E5</f>
        <v>12</v>
      </c>
      <c r="H5" s="15">
        <f>'06 — Physical economics — condi'!F5*'01 — Editable assumptions — USD'!B12+'01 — Editable assumptions — USD'!B13</f>
        <v>1.3150000000000002</v>
      </c>
      <c r="I5" s="15">
        <f>'06 — Physical economics — condi'!F5*'01 — Editable assumptions — USD'!B46</f>
        <v>1.75</v>
      </c>
      <c r="J5" s="15">
        <f>'06 — Physical economics — condi'!F5-'06 — Physical economics — condi'!G5-'06 — Physical economics — condi'!H5-'06 — Physical economics — condi'!I5-'01 — Editable assumptions — USD'!B47-'04 — Scenario comparison — Base'!B14</f>
        <v>17.89005</v>
      </c>
      <c r="K5" s="18">
        <f>IFERROR('06 — Physical economics — condi'!J5/'06 — Physical economics — condi'!F5,"")</f>
        <v>0.5111442857142857</v>
      </c>
      <c r="L5" s="15">
        <f>'06 — Physical economics — condi'!J5-'06 — Physical economics — condi'!G5*'01 — Editable assumptions — USD'!B48</f>
        <v>14.890049999999999</v>
      </c>
      <c r="M5" s="15">
        <f>'06 — Physical economics — condi'!G5*'01 — Editable assumptions — USD'!B50</f>
        <v>1200</v>
      </c>
      <c r="N5" s="15">
        <f>'06 — Physical economics — condi'!M5*'01 — Editable assumptions — USD'!B49/'01 — Editable assumptions — USD'!B40</f>
        <v>560</v>
      </c>
      <c r="O5" s="15">
        <f>'06 — Physical economics — condi'!I5*'01 — Editable assumptions — USD'!B50</f>
        <v>175</v>
      </c>
      <c r="P5" s="15">
        <f>'06 — Physical economics — condi'!N5+'06 — Physical economics — condi'!O5</f>
        <v>735</v>
      </c>
    </row>
    <row r="6">
      <c r="A6" t="inlineStr" s="7">
        <is>
          <t xml:space="preserve">Framed matte</t>
        </is>
      </c>
      <c r="B6" s="9">
        <f>89</f>
        <v>89</v>
      </c>
      <c r="C6" s="9">
        <f>35</f>
        <v>35</v>
      </c>
      <c r="D6" s="9">
        <f>12</f>
        <v>12</v>
      </c>
      <c r="E6" s="9">
        <f>3</f>
        <v>3</v>
      </c>
      <c r="F6" s="9">
        <f>'06 — Physical economics — condi'!B6+'01 — Editable assumptions — USD'!B45</f>
        <v>95</v>
      </c>
      <c r="G6" s="9">
        <f>'06 — Physical economics — condi'!C6+'06 — Physical economics — condi'!D6+'06 — Physical economics — condi'!E6</f>
        <v>50</v>
      </c>
      <c r="H6" s="9">
        <f>'06 — Physical economics — condi'!F6*'01 — Editable assumptions — USD'!B12+'01 — Editable assumptions — USD'!B13</f>
        <v>3.055</v>
      </c>
      <c r="I6" s="9">
        <f>'06 — Physical economics — condi'!F6*'01 — Editable assumptions — USD'!B46</f>
        <v>4.75</v>
      </c>
      <c r="J6" s="9">
        <f>'06 — Physical economics — condi'!F6-'06 — Physical economics — condi'!G6-'06 — Physical economics — condi'!H6-'06 — Physical economics — condi'!I6-'01 — Editable assumptions — USD'!B47-'04 — Scenario comparison — Base'!B14</f>
        <v>35.15005</v>
      </c>
      <c r="K6" s="11">
        <f>IFERROR('06 — Physical economics — condi'!J6/'06 — Physical economics — condi'!F6,"")</f>
        <v>0.3700005263157895</v>
      </c>
      <c r="L6" s="9">
        <f>'06 — Physical economics — condi'!J6-'06 — Physical economics — condi'!G6*'01 — Editable assumptions — USD'!B48</f>
        <v>22.65005</v>
      </c>
      <c r="M6" s="9">
        <f>'06 — Physical economics — condi'!G6*'01 — Editable assumptions — USD'!B50</f>
        <v>5000</v>
      </c>
      <c r="N6" s="9">
        <f>'06 — Physical economics — condi'!M6*'01 — Editable assumptions — USD'!B49/'01 — Editable assumptions — USD'!B40</f>
        <v>2333.3333333333335</v>
      </c>
      <c r="O6" s="9">
        <f>'06 — Physical economics — condi'!I6*'01 — Editable assumptions — USD'!B50</f>
        <v>475</v>
      </c>
      <c r="P6" s="9">
        <f>'06 — Physical economics — condi'!N6+'06 — Physical economics — condi'!O6</f>
        <v>2808.3333333333335</v>
      </c>
    </row>
    <row r="7">
      <c r="A7" t="inlineStr" s="5">
        <is>
          <t xml:space="preserve">Print matte</t>
        </is>
      </c>
      <c r="B7" s="15">
        <f>49</f>
        <v>49</v>
      </c>
      <c r="C7" s="15">
        <f>12</f>
        <v>12</v>
      </c>
      <c r="D7" s="15">
        <f>8</f>
        <v>8</v>
      </c>
      <c r="E7" s="15">
        <f>2</f>
        <v>2</v>
      </c>
      <c r="F7" s="15">
        <f>'06 — Physical economics — condi'!B7+'01 — Editable assumptions — USD'!B45</f>
        <v>55</v>
      </c>
      <c r="G7" s="15">
        <f>'06 — Physical economics — condi'!C7+'06 — Physical economics — condi'!D7+'06 — Physical economics — condi'!E7</f>
        <v>22</v>
      </c>
      <c r="H7" s="15">
        <f>'06 — Physical economics — condi'!F7*'01 — Editable assumptions — USD'!B12+'01 — Editable assumptions — USD'!B13</f>
        <v>1.895</v>
      </c>
      <c r="I7" s="15">
        <f>'06 — Physical economics — condi'!F7*'01 — Editable assumptions — USD'!B46</f>
        <v>2.75</v>
      </c>
      <c r="J7" s="15">
        <f>'06 — Physical economics — condi'!F7-'06 — Physical economics — condi'!G7-'06 — Physical economics — condi'!H7-'06 — Physical economics — condi'!I7-'01 — Editable assumptions — USD'!B47-'04 — Scenario comparison — Base'!B14</f>
        <v>26.31005</v>
      </c>
      <c r="K7" s="18">
        <f>IFERROR('06 — Physical economics — condi'!J7/'06 — Physical economics — condi'!F7,"")</f>
        <v>0.4783645454545455</v>
      </c>
      <c r="L7" s="15">
        <f>'06 — Physical economics — condi'!J7-'06 — Physical economics — condi'!G7*'01 — Editable assumptions — USD'!B48</f>
        <v>20.81005</v>
      </c>
      <c r="M7" s="15">
        <f>'06 — Physical economics — condi'!G7*'01 — Editable assumptions — USD'!B50</f>
        <v>2200</v>
      </c>
      <c r="N7" s="15">
        <f>'06 — Physical economics — condi'!M7*'01 — Editable assumptions — USD'!B49/'01 — Editable assumptions — USD'!B40</f>
        <v>1026.6666666666667</v>
      </c>
      <c r="O7" s="15">
        <f>'06 — Physical economics — condi'!I7*'01 — Editable assumptions — USD'!B50</f>
        <v>275</v>
      </c>
      <c r="P7" s="15">
        <f>'06 — Physical economics — condi'!N7+'06 — Physical economics — condi'!O7</f>
        <v>1301.6666666666667</v>
      </c>
    </row>
  </sheetData>
  <mergeCells count="1">
    <mergeCell ref="A1:P1"/>
  </mergeCells>
</worksheet>
</file>

<file path=xl/worksheets/sheet8.xml><?xml version="1.0" encoding="utf-8"?>
<worksheet xmlns="http://schemas.openxmlformats.org/spreadsheetml/2006/main">
  <dimension ref="A1:E23"/>
  <sheetViews>
    <sheetView showGridLines="0" workbookViewId="0">
      <pane xSplit="1" ySplit="4" topLeftCell="B5" activePane="bottomRight" state="frozen"/>
      <selection pane="bottomRight" activeCell="B5" sqref="B5"/>
    </sheetView>
  </sheetViews>
  <sheetFormatPr defaultRowHeight="18"/>
  <cols>
    <col min="1" max="1" width="40" customWidth="1"/>
    <col min="2" max="2" width="19" customWidth="1"/>
    <col min="3" max="3" width="19" customWidth="1"/>
    <col min="4" max="4" width="19" customWidth="1"/>
    <col min="5" max="5" width="19" customWidth="1"/>
  </cols>
  <sheetData>
    <row r="1" ht="32" customHeight="1">
      <c r="A1" t="inlineStr" s="1">
        <is>
          <t xml:space="preserve">08 — Dated evidence register — facts versus estimates</t>
        </is>
      </c>
    </row>
    <row r="2" ht="20" customHeight="1">
      <c r="A2" t="inlineStr" s="2">
        <is>
          <t xml:space="preserve">TicketStub — neatHack Business Plan — 2026-10-11 · Main Scenario</t>
        </is>
      </c>
    </row>
    <row r="4" ht="22" customHeight="1">
      <c r="A4" t="inlineStr" s="3">
        <is>
          <t xml:space="preserve">Variable / dimension</t>
        </is>
      </c>
      <c r="B4" t="inlineStr" s="4">
        <is>
          <t xml:space="preserve">TS Evidence statement</t>
        </is>
      </c>
      <c r="C4" t="inlineStr" s="4">
        <is>
          <t xml:space="preserve">TS Evidence URL</t>
        </is>
      </c>
      <c r="D4" t="inlineStr" s="4">
        <is>
          <t xml:space="preserve">TS Evidence class</t>
        </is>
      </c>
      <c r="E4" t="inlineStr" s="4">
        <is>
          <t xml:space="preserve">TS Evidence observed date</t>
        </is>
      </c>
    </row>
    <row r="5">
      <c r="A5" t="inlineStr" s="5">
        <is>
          <t xml:space="preserve">AI providers</t>
        </is>
      </c>
      <c r="B5" t="str" s="6">
        <f>"Defaults and external-call boundary"</f>
        <v>Defaults and external-call boundary</v>
      </c>
      <c r="C5" t="str" s="6">
        <f>"https://github.com/Jevelopers-neatHack-2026/getticketstub.com/blob/660cc5e0c92e0e338fe6d75db445c737c8fdfc10/src/server/ai/providers.ts"</f>
        <v>https://github.com/Jevelopers-neatHack-2026/getticketstub.com/blob/660cc5e0c92e0e338fe6d75db445c737c8fdfc10/src/server/ai/providers.ts</v>
      </c>
      <c r="D5" t="str" s="6">
        <f>"Retrieved pinned code"</f>
        <v>Retrieved pinned code</v>
      </c>
      <c r="E5" t="str" s="6">
        <f>"2026-10-11"</f>
        <v>2026-10-11</v>
      </c>
    </row>
    <row r="6">
      <c r="A6" t="inlineStr" s="7">
        <is>
          <t xml:space="preserve">Agent route</t>
        </is>
      </c>
      <c r="B6" t="str" s="8">
        <f>"Output cap300; input quantity unmeasured"</f>
        <v>Output cap300; input quantity unmeasured</v>
      </c>
      <c r="C6" t="str" s="8">
        <f>"https://github.com/Jevelopers-neatHack-2026/getticketstub.com/blob/660cc5e0c92e0e338fe6d75db445c737c8fdfc10/src/app/api/agent/route.ts"</f>
        <v>https://github.com/Jevelopers-neatHack-2026/getticketstub.com/blob/660cc5e0c92e0e338fe6d75db445c737c8fdfc10/src/app/api/agent/route.ts</v>
      </c>
      <c r="D6" t="str" s="8">
        <f>"Retrieved pinned code"</f>
        <v>Retrieved pinned code</v>
      </c>
      <c r="E6" t="str" s="8">
        <f>"2026-10-11"</f>
        <v>2026-10-11</v>
      </c>
    </row>
    <row r="7">
      <c r="A7" t="inlineStr" s="7">
        <is>
          <t xml:space="preserve">Commerce sandbox</t>
        </is>
      </c>
      <c r="B7" t="str" s="8">
        <f>"Payments and shipping sandbox; shipping6"</f>
        <v>Payments and shipping sandbox; shipping6</v>
      </c>
      <c r="C7" t="str" s="8">
        <f>"https://github.com/Jevelopers-neatHack-2026/getticketstub.com/blob/660cc5e0c92e0e338fe6d75db445c737c8fdfc10/src/customer/pages/commerce.ts"</f>
        <v>https://github.com/Jevelopers-neatHack-2026/getticketstub.com/blob/660cc5e0c92e0e338fe6d75db445c737c8fdfc10/src/customer/pages/commerce.ts</v>
      </c>
      <c r="D7" t="str" s="8">
        <f>"Retrieved pinned code"</f>
        <v>Retrieved pinned code</v>
      </c>
      <c r="E7" t="str" s="8">
        <f>"2026-10-11"</f>
        <v>2026-10-11</v>
      </c>
    </row>
    <row r="8">
      <c r="A8" t="inlineStr" s="7">
        <is>
          <t xml:space="preserve">Creative and harness</t>
        </is>
      </c>
      <c r="B8" t="str" s="8">
        <f>"Creative5ab7f0ed; harnessc3a4960e; no runtime finance claim"</f>
        <v>Creative5ab7f0ed; harnessc3a4960e; no runtime finance claim</v>
      </c>
      <c r="C8" t="str" s="8">
        <f>"Repository URLs not supplied"</f>
        <v>Repository URLs not supplied</v>
      </c>
      <c r="D8" t="str" s="8">
        <f>"User-provided commit pins; not independently verified"</f>
        <v>User-provided commit pins; not independently verified</v>
      </c>
      <c r="E8" t="str" s="8">
        <f>"2026-10-11"</f>
        <v>2026-10-11</v>
      </c>
    </row>
    <row r="9">
      <c r="A9" t="inlineStr" s="7">
        <is>
          <t xml:space="preserve">Finance evidence</t>
        </is>
      </c>
      <c r="B9" t="str" s="8">
        <f>"Synthetic tariffs are not quotes"</f>
        <v>Synthetic tariffs are not quotes</v>
      </c>
      <c r="C9" t="str" s="8">
        <f>"https://github.com/Jevelopers-neatHack-2026/cost-intelligence/blob/d5a51894e8987cef078583ef63692f38eb265593/docs/api/pricing-source-evidence-2026-10-11.md"</f>
        <v>https://github.com/Jevelopers-neatHack-2026/cost-intelligence/blob/d5a51894e8987cef078583ef63692f38eb265593/docs/api/pricing-source-evidence-2026-10-11.md</v>
      </c>
      <c r="D9" t="str" s="8">
        <f>"Retrieved pinned evidence"</f>
        <v>Retrieved pinned evidence</v>
      </c>
      <c r="E9" t="str" s="8">
        <f>"2026-10-11"</f>
        <v>2026-10-11</v>
      </c>
    </row>
    <row r="10">
      <c r="A10" t="inlineStr" s="7">
        <is>
          <t xml:space="preserve">Fulfillment matrix</t>
        </is>
      </c>
      <c r="B10" t="str" s="8">
        <f>"No accepted project SKU/adapter/quote"</f>
        <v>No accepted project SKU/adapter/quote</v>
      </c>
      <c r="C10" t="str" s="8">
        <f>"https://github.com/Jevelopers-neatHack-2026/fulfillment-connectors/blob/a710358e93370681eadd2615e1dd4fdc0cd6cc12/docs/provider-matrix.md"</f>
        <v>https://github.com/Jevelopers-neatHack-2026/fulfillment-connectors/blob/a710358e93370681eadd2615e1dd4fdc0cd6cc12/docs/provider-matrix.md</v>
      </c>
      <c r="D10" t="str" s="8">
        <f>"Retrieved pinned evidence"</f>
        <v>Retrieved pinned evidence</v>
      </c>
      <c r="E10" t="str" s="8">
        <f>"2026-10-11"</f>
        <v>2026-10-11</v>
      </c>
    </row>
    <row r="11">
      <c r="A11" t="inlineStr" s="7">
        <is>
          <t xml:space="preserve">Integration baseline</t>
        </is>
      </c>
      <c r="B11" t="str" s="8">
        <f>"SPN-03 CFO plan; launch acceptance"</f>
        <v>SPN-03 CFO plan; launch acceptance</v>
      </c>
      <c r="C11" t="str" s="8">
        <f>"https://github.com/Jevelopers-neatHack-2026/integration-evals/blob/ff1f6d2df816ebbff34742f51be728fcb5c28cb5/planning/acceptance-checklist.md"</f>
        <v>https://github.com/Jevelopers-neatHack-2026/integration-evals/blob/ff1f6d2df816ebbff34742f51be728fcb5c28cb5/planning/acceptance-checklist.md</v>
      </c>
      <c r="D11" t="str" s="8">
        <f>"Retrieved pinned evidence"</f>
        <v>Retrieved pinned evidence</v>
      </c>
      <c r="E11" t="str" s="8">
        <f>"2026-10-11"</f>
        <v>2026-10-11</v>
      </c>
    </row>
    <row r="12">
      <c r="A12" t="inlineStr" s="7">
        <is>
          <t xml:space="preserve">Main README</t>
        </is>
      </c>
      <c r="B12" t="str" s="8">
        <f>"Prototype boundaries; PR20 separate"</f>
        <v>Prototype boundaries; PR20 separate</v>
      </c>
      <c r="C12" t="str" s="8">
        <f>"https://github.com/Jevelopers-neatHack-2026/getticketstub.com/blob/660cc5e0c92e0e338fe6d75db445c737c8fdfc10/README.md"</f>
        <v>https://github.com/Jevelopers-neatHack-2026/getticketstub.com/blob/660cc5e0c92e0e338fe6d75db445c737c8fdfc10/README.md</v>
      </c>
      <c r="D12" t="str" s="8">
        <f>"Retrieved pinned code"</f>
        <v>Retrieved pinned code</v>
      </c>
      <c r="E12" t="str" s="8">
        <f>"2026-10-11"</f>
        <v>2026-10-11</v>
      </c>
    </row>
    <row r="13">
      <c r="A13" t="inlineStr" s="7">
        <is>
          <t xml:space="preserve">OpenRouter FAQ</t>
        </is>
      </c>
      <c r="B13" t="str" s="8">
        <f>"5.5% fee / $0.80 minimum; retain 6% estimate"</f>
        <v>5.5% fee / $0.80 minimum; retain 6% estimate</v>
      </c>
      <c r="C13" t="str" s="8">
        <f>"https://openrouter.ai/docs/faq"</f>
        <v>https://openrouter.ai/docs/faq</v>
      </c>
      <c r="D13" t="str" s="8">
        <f>"Official public FAQ retrieved"</f>
        <v>Official public FAQ retrieved</v>
      </c>
      <c r="E13" t="str" s="8">
        <f>"2026-10-11"</f>
        <v>2026-10-11</v>
      </c>
    </row>
    <row r="14">
      <c r="A14" t="inlineStr" s="7">
        <is>
          <t xml:space="preserve">OpenRouter image endpoints</t>
        </is>
      </c>
      <c r="B14" t="str" s="8">
        <f>"Image input_text5 input_image8 output_image30 per million"</f>
        <v>Image input_text5 input_image8 output_image30 per million</v>
      </c>
      <c r="C14" t="str" s="8">
        <f>"https://openrouter.ai/api/v1/images/models/openai/gpt-image-2/endpoints"</f>
        <v>https://openrouter.ai/api/v1/images/models/openai/gpt-image-2/endpoints</v>
      </c>
      <c r="D14" t="str" s="8">
        <f>"Official endpoint independently retrieved"</f>
        <v>Official endpoint independently retrieved</v>
      </c>
      <c r="E14" t="str" s="8">
        <f>"2026-10-11"</f>
        <v>2026-10-11</v>
      </c>
    </row>
    <row r="15">
      <c r="A15" t="inlineStr" s="7">
        <is>
          <t xml:space="preserve">OpenRouter image models</t>
        </is>
      </c>
      <c r="B15" t="str" s="8">
        <f>"gpt-image-2 identity"</f>
        <v>gpt-image-2 identity</v>
      </c>
      <c r="C15" t="str" s="8">
        <f>"https://openrouter.ai/api/v1/images/models"</f>
        <v>https://openrouter.ai/api/v1/images/models</v>
      </c>
      <c r="D15" t="str" s="8">
        <f>"Official endpoint independently retrieved"</f>
        <v>Official endpoint independently retrieved</v>
      </c>
      <c r="E15" t="str" s="8">
        <f>"2026-10-11"</f>
        <v>2026-10-11</v>
      </c>
    </row>
    <row r="16">
      <c r="A16" t="inlineStr" s="7">
        <is>
          <t xml:space="preserve">OpenRouter text models</t>
        </is>
      </c>
      <c r="B16" t="str" s="8">
        <f>"Sonnet5.5 and gpt6.1-sol $2/$10 per million"</f>
        <v>Sonnet5.5 and gpt6.1-sol $2/$10 per million</v>
      </c>
      <c r="C16" t="str" s="8">
        <f>"https://openrouter.ai/api/v1/models"</f>
        <v>https://openrouter.ai/api/v1/models</v>
      </c>
      <c r="D16" t="str" s="8">
        <f>"Official endpoint independently retrieved"</f>
        <v>Official endpoint independently retrieved</v>
      </c>
      <c r="E16" t="str" s="8">
        <f>"2026-10-11"</f>
        <v>2026-10-11</v>
      </c>
    </row>
    <row r="17">
      <c r="A17" t="inlineStr" s="7">
        <is>
          <t xml:space="preserve">PR20</t>
        </is>
      </c>
      <c r="B17" t="str" s="8">
        <f>"Separate work; not accepted main"</f>
        <v>Separate work; not accepted main</v>
      </c>
      <c r="C17" t="str" s="8">
        <f>"https://github.com/Jevelopers-neatHack-2026/getticketstub.com/pull/20"</f>
        <v>https://github.com/Jevelopers-neatHack-2026/getticketstub.com/pull/20</v>
      </c>
      <c r="D17" t="str" s="8">
        <f>"User-supplied public pointer; main README confirms separation"</f>
        <v>User-supplied public pointer; main README confirms separation</v>
      </c>
      <c r="E17" t="str" s="8">
        <f>"2026-10-11"</f>
        <v>2026-10-11</v>
      </c>
    </row>
    <row r="18">
      <c r="A18" t="inlineStr" s="7">
        <is>
          <t xml:space="preserve">Prodigi API docs</t>
        </is>
      </c>
      <c r="B18" t="str" s="8">
        <f>"Quote mechanism, not a project quote"</f>
        <v>Quote mechanism, not a project quote</v>
      </c>
      <c r="C18" t="str" s="8">
        <f>"https://www.prodigi.com/print-api/docs/reference/"</f>
        <v>https://www.prodigi.com/print-api/docs/reference/</v>
      </c>
      <c r="D18" t="str" s="8">
        <f>"Official reference retrieved"</f>
        <v>Official reference retrieved</v>
      </c>
      <c r="E18" t="str" s="8">
        <f>"2026-10-11"</f>
        <v>2026-10-11</v>
      </c>
    </row>
    <row r="19">
      <c r="A19" t="inlineStr" s="7">
        <is>
          <t xml:space="preserve">Research route</t>
        </is>
      </c>
      <c r="B19" t="str" s="8">
        <f>"Output cap600; input quantity unmeasured"</f>
        <v>Output cap600; input quantity unmeasured</v>
      </c>
      <c r="C19" t="str" s="8">
        <f>"https://github.com/Jevelopers-neatHack-2026/getticketstub.com/blob/660cc5e0c92e0e338fe6d75db445c737c8fdfc10/src/app/api/research/route.ts"</f>
        <v>https://github.com/Jevelopers-neatHack-2026/getticketstub.com/blob/660cc5e0c92e0e338fe6d75db445c737c8fdfc10/src/app/api/research/route.ts</v>
      </c>
      <c r="D19" t="str" s="8">
        <f>"Retrieved pinned code"</f>
        <v>Retrieved pinned code</v>
      </c>
      <c r="E19" t="str" s="8">
        <f>"2026-10-11"</f>
        <v>2026-10-11</v>
      </c>
    </row>
    <row r="20">
      <c r="A20" t="inlineStr" s="7">
        <is>
          <t xml:space="preserve">Sandbox prices</t>
        </is>
      </c>
      <c r="B20" t="str" s="8">
        <f>"Digital9 Card29 Print49 Framed89; not sales"</f>
        <v>Digital9 Card29 Print49 Framed89; not sales</v>
      </c>
      <c r="C20" t="str" s="8">
        <f>"https://github.com/Jevelopers-neatHack-2026/getticketstub.com/blob/660cc5e0c92e0e338fe6d75db445c737c8fdfc10/src/customer/studio/types.ts"</f>
        <v>https://github.com/Jevelopers-neatHack-2026/getticketstub.com/blob/660cc5e0c92e0e338fe6d75db445c737c8fdfc10/src/customer/studio/types.ts</v>
      </c>
      <c r="D20" t="str" s="8">
        <f>"Retrieved pinned code"</f>
        <v>Retrieved pinned code</v>
      </c>
      <c r="E20" t="str" s="8">
        <f>"2026-10-11"</f>
        <v>2026-10-11</v>
      </c>
    </row>
    <row r="21">
      <c r="A21" t="inlineStr" s="7">
        <is>
          <t xml:space="preserve">Stripe US pricing</t>
        </is>
      </c>
      <c r="B21" t="str" s="8">
        <f>"US domestic benchmark2.9% +.30, provider unselected"</f>
        <v>US domestic benchmark2.9% +.30, provider unselected</v>
      </c>
      <c r="C21" t="str" s="8">
        <f>"https://stripe.com/us/pricing"</f>
        <v>https://stripe.com/us/pricing</v>
      </c>
      <c r="D21" t="str" s="8">
        <f>"Official public pricing retrieved"</f>
        <v>Official public pricing retrieved</v>
      </c>
      <c r="E21" t="str" s="8">
        <f>"2026-10-11"</f>
        <v>2026-10-11</v>
      </c>
    </row>
    <row r="22">
      <c r="A22" t="inlineStr" s="7">
        <is>
          <t xml:space="preserve">Tracker27</t>
        </is>
      </c>
      <c r="B22" t="str" s="8">
        <f>"Work tracker, not sales"</f>
        <v>Work tracker, not sales</v>
      </c>
      <c r="C22" t="str" s="8">
        <f>"https://github.com/Jevelopers-neatHack-2026/getticketstub.com/issues/27"</f>
        <v>https://github.com/Jevelopers-neatHack-2026/getticketstub.com/issues/27</v>
      </c>
      <c r="D22" t="str" s="8">
        <f>"User-supplied public source pointer"</f>
        <v>User-supplied public source pointer</v>
      </c>
      <c r="E22" t="str" s="8">
        <f>"2026-10-11"</f>
        <v>2026-10-11</v>
      </c>
    </row>
    <row r="23">
      <c r="A23" t="inlineStr" s="5">
        <is>
          <t xml:space="preserve">neatHack official</t>
        </is>
      </c>
      <c r="B23" t="str" s="6">
        <f>"Business-plan and demo evidence requirements"</f>
        <v>Business-plan and demo evidence requirements</v>
      </c>
      <c r="C23" t="str" s="6">
        <f>"https://neatlogs.com/hackathon"</f>
        <v>https://neatlogs.com/hackathon</v>
      </c>
      <c r="D23" t="str" s="6">
        <f>"Official page search evidence"</f>
        <v>Official page search evidence</v>
      </c>
      <c r="E23" t="str" s="6">
        <f>"2026-10-11"</f>
        <v>2026-10-11</v>
      </c>
    </row>
  </sheetData>
  <mergeCells count="1">
    <mergeCell ref="A1:E1"/>
  </mergeCells>
</worksheet>
</file>

<file path=xl/worksheets/sheet9.xml><?xml version="1.0" encoding="utf-8"?>
<worksheet xmlns="http://schemas.openxmlformats.org/spreadsheetml/2006/main">
  <dimension ref="A1:S243"/>
  <sheetViews>
    <sheetView showGridLines="0" workbookViewId="0">
      <pane xSplit="1" ySplit="5" topLeftCell="B6" activePane="bottomRight" state="frozen"/>
      <selection pane="bottomRight" activeCell="B6" sqref="B6"/>
    </sheetView>
  </sheetViews>
  <sheetFormatPr defaultRowHeight="18"/>
  <cols>
    <col min="1" max="1" width="42" customWidth="1"/>
    <col min="2" max="2" width="19" customWidth="1"/>
    <col min="3" max="3" width="19" customWidth="1"/>
    <col min="4" max="4" width="19" customWidth="1"/>
    <col min="5" max="5" width="19" customWidth="1"/>
    <col min="6" max="6" width="19" customWidth="1"/>
    <col min="7" max="7" width="19" customWidth="1"/>
    <col min="8" max="8" width="19" customWidth="1"/>
    <col min="9" max="9" width="19" customWidth="1"/>
    <col min="10" max="10" width="19" customWidth="1"/>
    <col min="11" max="11" width="19" customWidth="1"/>
    <col min="12" max="12" width="19" customWidth="1"/>
    <col min="13" max="13" width="19" customWidth="1"/>
    <col min="14" max="14" width="19" customWidth="1"/>
    <col min="15" max="15" width="19" customWidth="1"/>
    <col min="16" max="16" width="19" customWidth="1"/>
    <col min="17" max="17" width="19" customWidth="1"/>
    <col min="18" max="18" width="19" customWidth="1"/>
    <col min="19" max="19" width="19" customWidth="1"/>
  </cols>
  <sheetData>
    <row r="1" ht="32" customHeight="1">
      <c r="A1" t="inlineStr" s="1">
        <is>
          <t xml:space="preserve">Model inputs</t>
        </is>
      </c>
    </row>
    <row r="2" ht="20" customHeight="1">
      <c r="A2" t="inlineStr" s="2">
        <is>
          <t xml:space="preserve">Integration values are aggregated snapshots; raw source records are not included.</t>
        </is>
      </c>
    </row>
    <row r="4">
      <c r="A4" t="inlineStr" s="20">
        <is>
          <t xml:space="preserve">Variables</t>
        </is>
      </c>
    </row>
    <row r="5" ht="22" customHeight="1">
      <c r="A5" t="inlineStr" s="3">
        <is>
          <t xml:space="preserve">Variable / segment</t>
        </is>
      </c>
      <c r="B5" t="inlineStr" s="4">
        <is>
          <t xml:space="preserve">Value</t>
        </is>
      </c>
      <c r="C5" t="inlineStr" s="4">
        <is>
          <t xml:space="preserve">Value</t>
        </is>
      </c>
      <c r="D5" t="inlineStr" s="4">
        <is>
          <t xml:space="preserve">2026-09</t>
        </is>
      </c>
      <c r="E5" t="inlineStr" s="19">
        <is>
          <t xml:space="preserve">2026-10</t>
        </is>
      </c>
      <c r="F5" t="inlineStr" s="4">
        <is>
          <t xml:space="preserve">2026-11</t>
        </is>
      </c>
      <c r="G5" t="inlineStr" s="4">
        <is>
          <t xml:space="preserve">2026-12</t>
        </is>
      </c>
      <c r="H5" t="inlineStr" s="19">
        <is>
          <t xml:space="preserve">2027-01</t>
        </is>
      </c>
      <c r="I5" t="inlineStr" s="4">
        <is>
          <t xml:space="preserve">2027-02</t>
        </is>
      </c>
      <c r="J5" t="inlineStr" s="4">
        <is>
          <t xml:space="preserve">2027-03</t>
        </is>
      </c>
      <c r="K5" t="inlineStr" s="19">
        <is>
          <t xml:space="preserve">2027-04</t>
        </is>
      </c>
      <c r="L5" t="inlineStr" s="4">
        <is>
          <t xml:space="preserve">2027-05</t>
        </is>
      </c>
      <c r="M5" t="inlineStr" s="4">
        <is>
          <t xml:space="preserve">2027-06</t>
        </is>
      </c>
      <c r="N5" t="inlineStr" s="19">
        <is>
          <t xml:space="preserve">2027-07</t>
        </is>
      </c>
      <c r="O5" t="inlineStr" s="4">
        <is>
          <t xml:space="preserve">2027-08</t>
        </is>
      </c>
      <c r="P5" t="inlineStr" s="4">
        <is>
          <t xml:space="preserve">2027-09</t>
        </is>
      </c>
      <c r="Q5" t="inlineStr" s="19">
        <is>
          <t xml:space="preserve">2027-10</t>
        </is>
      </c>
      <c r="R5" t="inlineStr" s="4">
        <is>
          <t xml:space="preserve">2027-11</t>
        </is>
      </c>
      <c r="S5" t="inlineStr" s="4">
        <is>
          <t xml:space="preserve">2027-12</t>
        </is>
      </c>
    </row>
    <row r="6">
      <c r="A6" t="inlineStr" s="21">
        <is>
          <t xml:space="preserve">TS AI cost per start · 04 — Scenario comparison — Base is Main Scenario · Main Scenario</t>
        </is>
      </c>
      <c r="B6" s="8">
        <f>('Model inputs'!B130+'Model inputs'!B126*'Model inputs'!B125+'Model inputs'!B129*'Model inputs'!B128)*(1+'Model inputs'!B127)*(1+'Model inputs'!B124)</f>
        <v>0.30899</v>
      </c>
    </row>
    <row r="7">
      <c r="A7" t="inlineStr" s="21">
        <is>
          <t xml:space="preserve">TS AI cost per start · TicketStub — Growth</t>
        </is>
      </c>
      <c r="B7" s="8">
        <f>('Model inputs'!B175+'04 — Scenario comparison — Base'!D9*'Model inputs'!B147+'04 — Scenario comparison — Base'!D8*'Model inputs'!B164)*(1+'Model inputs'!B160)*(1+'Model inputs'!B144)</f>
        <v>0.2354525</v>
      </c>
    </row>
    <row r="8">
      <c r="A8" t="inlineStr" s="21">
        <is>
          <t xml:space="preserve">TS AI cost per start · TicketStub — Conservative</t>
        </is>
      </c>
      <c r="B8" s="8">
        <f>('Model inputs'!B176+'04 — Scenario comparison — Base'!C9*'Model inputs'!B148+'04 — Scenario comparison — Base'!C8*'Model inputs'!B165)*(1+'Model inputs'!B161)*(1+'Model inputs'!B145)</f>
        <v>0.60314</v>
      </c>
    </row>
    <row r="9">
      <c r="A9" t="inlineStr" s="21">
        <is>
          <t xml:space="preserve">TS Alternative opening cash funded · TicketStub — Growth</t>
        </is>
      </c>
      <c r="B9" s="9">
        <f>'01 — Editable assumptions — USD'!B35</f>
        <v>5000</v>
      </c>
    </row>
    <row r="10">
      <c r="A10" t="inlineStr" s="21">
        <is>
          <t xml:space="preserve">TS Alternative opening cash funded · TicketStub — Conservative</t>
        </is>
      </c>
      <c r="B10" s="9">
        <f>'01 — Editable assumptions — USD'!B35</f>
        <v>5000</v>
      </c>
    </row>
    <row r="11">
      <c r="A11" t="inlineStr" s="21">
        <is>
          <t xml:space="preserve">TS Alternative opening cash zero · TicketStub — Growth</t>
        </is>
      </c>
      <c r="B11" s="9">
        <f>'01 — Editable assumptions — USD'!B34</f>
        <v>0</v>
      </c>
    </row>
    <row r="12">
      <c r="A12" t="inlineStr" s="21">
        <is>
          <t xml:space="preserve">TS Alternative opening cash zero · TicketStub — Conservative</t>
        </is>
      </c>
      <c r="B12" s="9">
        <f>'01 — Editable assumptions — USD'!B34</f>
        <v>0</v>
      </c>
    </row>
    <row r="13">
      <c r="A13" t="inlineStr" s="21">
        <is>
          <t xml:space="preserve">TS Cash month days · 04 — Scenario comparison — Base is Main Scenario · Main Scenario</t>
        </is>
      </c>
      <c r="B13" s="8">
        <f>'01 — Editable assumptions — USD'!B40</f>
        <v>30</v>
      </c>
    </row>
    <row r="14">
      <c r="A14" t="inlineStr" s="21">
        <is>
          <t xml:space="preserve">TS Cash month days · TicketStub — Growth</t>
        </is>
      </c>
      <c r="B14" s="8">
        <f>'01 — Editable assumptions — USD'!B40</f>
        <v>30</v>
      </c>
    </row>
    <row r="15">
      <c r="A15" t="inlineStr" s="21">
        <is>
          <t xml:space="preserve">TS Cash month days · TicketStub — Conservative</t>
        </is>
      </c>
      <c r="B15" s="8">
        <f>'01 — Editable assumptions — USD'!B40</f>
        <v>30</v>
      </c>
    </row>
    <row r="16">
      <c r="A16" t="inlineStr" s="21">
        <is>
          <t xml:space="preserve">TS Contingency reserve · 04 — Scenario comparison — Base is Main Scenario · Main Scenario</t>
        </is>
      </c>
      <c r="B16" s="9">
        <f>'01 — Editable assumptions — USD'!B38</f>
        <v>500</v>
      </c>
    </row>
    <row r="17">
      <c r="A17" t="inlineStr" s="21">
        <is>
          <t xml:space="preserve">TS Contingency reserve · TicketStub — Growth</t>
        </is>
      </c>
      <c r="B17" s="9">
        <f>'01 — Editable assumptions — USD'!B38</f>
        <v>500</v>
      </c>
    </row>
    <row r="18">
      <c r="A18" t="inlineStr" s="21">
        <is>
          <t xml:space="preserve">TS Contingency reserve · TicketStub — Conservative</t>
        </is>
      </c>
      <c r="B18" s="9">
        <f>'01 — Editable assumptions — USD'!B38</f>
        <v>500</v>
      </c>
    </row>
    <row r="19">
      <c r="A19" t="inlineStr" s="21">
        <is>
          <t xml:space="preserve">TS Digital orders · 04 — Scenario comparison — Base is Main Scenario</t>
        </is>
      </c>
      <c r="B19" s="8">
        <f>'Model inputs'!B115*'Model inputs'!B116</f>
        <v>200</v>
      </c>
    </row>
    <row r="20">
      <c r="A20" t="inlineStr" s="21">
        <is>
          <t xml:space="preserve">TS Digital orders · 07 — Cash projection — hypothetical dates and balances</t>
        </is>
      </c>
      <c r="C20" s="8">
        <f>'Model inputs'!B115*'Model inputs'!B116</f>
        <v>200</v>
      </c>
    </row>
    <row r="21">
      <c r="A21" t="inlineStr" s="21">
        <is>
          <t xml:space="preserve">TS Digital price · 04 — Scenario comparison — Base is Main Scenario · Main Scenario</t>
        </is>
      </c>
      <c r="B21" s="9">
        <f>'01 — Editable assumptions — USD'!B11</f>
        <v>9</v>
      </c>
    </row>
    <row r="22">
      <c r="A22" t="inlineStr" s="21">
        <is>
          <t xml:space="preserve">TS Digital price · 07 — Cash projection — hypothetical dates and balances · Main Scenario</t>
        </is>
      </c>
      <c r="C22" s="9">
        <f>'01 — Editable assumptions — USD'!B11</f>
        <v>9</v>
      </c>
    </row>
    <row r="23">
      <c r="A23" t="inlineStr" s="21">
        <is>
          <t xml:space="preserve">TS Digital price · TicketStub — Growth</t>
        </is>
      </c>
      <c r="B23" s="9">
        <f>'01 — Editable assumptions — USD'!B11</f>
        <v>9</v>
      </c>
    </row>
    <row r="24">
      <c r="A24" t="inlineStr" s="21">
        <is>
          <t xml:space="preserve">TS Digital price · TicketStub — Conservative</t>
        </is>
      </c>
      <c r="B24" s="9">
        <f>'01 — Editable assumptions — USD'!B11</f>
        <v>9</v>
      </c>
    </row>
    <row r="25">
      <c r="A25" t="inlineStr" s="21">
        <is>
          <t xml:space="preserve">TS Expected prize cash</t>
        </is>
      </c>
      <c r="C25" s="9">
        <f>'01 — Editable assumptions — USD'!B43</f>
        <v>0</v>
      </c>
    </row>
    <row r="26">
      <c r="A26" t="inlineStr" s="21">
        <is>
          <t xml:space="preserve">TS Expected revisions per start · 04 — Scenario comparison — Base is Main Scenario · Main Scenario</t>
        </is>
      </c>
      <c r="B26" s="8">
        <f>'01 — Editable assumptions — USD'!B9</f>
        <v>1</v>
      </c>
    </row>
    <row r="27">
      <c r="A27" t="inlineStr" s="21">
        <is>
          <t xml:space="preserve">TS Expected revisions per start · TicketStub — Growth</t>
        </is>
      </c>
      <c r="B27" s="8">
        <f>0.5</f>
        <v>0.5</v>
      </c>
    </row>
    <row r="28">
      <c r="A28" t="inlineStr" s="21">
        <is>
          <t xml:space="preserve">TS Expected revisions per start · TicketStub — Conservative</t>
        </is>
      </c>
      <c r="B28" s="8">
        <f>3</f>
        <v>3</v>
      </c>
    </row>
    <row r="29">
      <c r="A29" t="inlineStr" s="21">
        <is>
          <t xml:space="preserve">TS Fixed budget amount</t>
        </is>
      </c>
      <c r="B29" s="6">
        <v>0</v>
      </c>
    </row>
    <row r="30" outlineLevel="1">
      <c r="A30" t="inlineStr" s="22">
        <is>
          <t xml:space="preserve">TS Fixed budget amount &gt; Data and API licensing contingency</t>
        </is>
      </c>
      <c r="B30" s="8">
        <f>'02 — Fixed monthly budgets — es'!B5</f>
        <v>40</v>
      </c>
    </row>
    <row r="31" outlineLevel="1">
      <c r="A31" t="inlineStr" s="22">
        <is>
          <t xml:space="preserve">TS Fixed budget amount &gt; Database backup and base storage</t>
        </is>
      </c>
      <c r="B31" s="8">
        <f>'02 — Fixed monthly budgets — es'!B6</f>
        <v>30</v>
      </c>
    </row>
    <row r="32" outlineLevel="1">
      <c r="A32" t="inlineStr" s="22">
        <is>
          <t xml:space="preserve">TS Fixed budget amount &gt; Development AI and tools</t>
        </is>
      </c>
      <c r="B32" s="8">
        <f>'02 — Fixed monthly budgets — es'!B7</f>
        <v>60</v>
      </c>
    </row>
    <row r="33" outlineLevel="1">
      <c r="A33" t="inlineStr" s="22">
        <is>
          <t xml:space="preserve">TS Fixed budget amount &gt; Domain admin and accounting</t>
        </is>
      </c>
      <c r="B33" s="8">
        <f>'02 — Fixed monthly budgets — es'!B8</f>
        <v>20</v>
      </c>
    </row>
    <row r="34" outlineLevel="1">
      <c r="A34" t="inlineStr" s="22">
        <is>
          <t xml:space="preserve">TS Fixed budget amount &gt; Email base provision</t>
        </is>
      </c>
      <c r="B34" s="8">
        <f>'02 — Fixed monthly budgets — es'!B9</f>
        <v>20</v>
      </c>
    </row>
    <row r="35" outlineLevel="1">
      <c r="A35" t="inlineStr" s="22">
        <is>
          <t xml:space="preserve">TS Fixed budget amount &gt; Hosting</t>
        </is>
      </c>
      <c r="B35" s="8">
        <f>'02 — Fixed monthly budgets — es'!B10</f>
        <v>80</v>
      </c>
    </row>
    <row r="36" outlineLevel="1">
      <c r="A36" t="inlineStr" s="22">
        <is>
          <t xml:space="preserve">TS Fixed budget amount &gt; Monitoring traces and security</t>
        </is>
      </c>
      <c r="B36" s="8">
        <f>'02 — Fixed monthly budgets — es'!B11</f>
        <v>50</v>
      </c>
    </row>
    <row r="37">
      <c r="A37" t="inlineStr" s="21">
        <is>
          <t xml:space="preserve">TS Fixed budget amount</t>
        </is>
      </c>
      <c r="B37" s="6">
        <v>0</v>
      </c>
    </row>
    <row r="38" outlineLevel="1">
      <c r="A38" t="inlineStr" s="22">
        <is>
          <t xml:space="preserve">TS Fixed budget amount &gt; Data and API licensing contingency</t>
        </is>
      </c>
      <c r="B38" s="8">
        <f>150</f>
        <v>150</v>
      </c>
    </row>
    <row r="39" outlineLevel="1">
      <c r="A39" t="inlineStr" s="22">
        <is>
          <t xml:space="preserve">TS Fixed budget amount &gt; Database backup and base storage</t>
        </is>
      </c>
      <c r="B39" s="8">
        <f>100</f>
        <v>100</v>
      </c>
    </row>
    <row r="40" outlineLevel="1">
      <c r="A40" t="inlineStr" s="22">
        <is>
          <t xml:space="preserve">TS Fixed budget amount &gt; Development AI and tools</t>
        </is>
      </c>
      <c r="B40" s="8">
        <f>150</f>
        <v>150</v>
      </c>
    </row>
    <row r="41" outlineLevel="1">
      <c r="A41" t="inlineStr" s="22">
        <is>
          <t xml:space="preserve">TS Fixed budget amount &gt; Domain admin and accounting</t>
        </is>
      </c>
      <c r="B41" s="8">
        <f>50</f>
        <v>50</v>
      </c>
    </row>
    <row r="42" outlineLevel="1">
      <c r="A42" t="inlineStr" s="22">
        <is>
          <t xml:space="preserve">TS Fixed budget amount &gt; Email base provision</t>
        </is>
      </c>
      <c r="B42" s="8">
        <f>50</f>
        <v>50</v>
      </c>
    </row>
    <row r="43" outlineLevel="1">
      <c r="A43" t="inlineStr" s="22">
        <is>
          <t xml:space="preserve">TS Fixed budget amount &gt; Hosting</t>
        </is>
      </c>
      <c r="B43" s="8">
        <f>250</f>
        <v>250</v>
      </c>
    </row>
    <row r="44" outlineLevel="1">
      <c r="A44" t="inlineStr" s="22">
        <is>
          <t xml:space="preserve">TS Fixed budget amount &gt; Monitoring traces and security</t>
        </is>
      </c>
      <c r="B44" s="8">
        <f>150</f>
        <v>150</v>
      </c>
    </row>
    <row r="45">
      <c r="A45" t="inlineStr" s="21">
        <is>
          <t xml:space="preserve">TS Fixed budget amount</t>
        </is>
      </c>
      <c r="B45" s="6">
        <v>0</v>
      </c>
    </row>
    <row r="46" outlineLevel="1">
      <c r="A46" t="inlineStr" s="22">
        <is>
          <t xml:space="preserve">TS Fixed budget amount &gt; Data and API licensing contingency</t>
        </is>
      </c>
      <c r="B46" s="8">
        <f>20</f>
        <v>20</v>
      </c>
    </row>
    <row r="47" outlineLevel="1">
      <c r="A47" t="inlineStr" s="22">
        <is>
          <t xml:space="preserve">TS Fixed budget amount &gt; Database backup and base storage</t>
        </is>
      </c>
      <c r="B47" s="8">
        <f>15</f>
        <v>15</v>
      </c>
    </row>
    <row r="48" outlineLevel="1">
      <c r="A48" t="inlineStr" s="22">
        <is>
          <t xml:space="preserve">TS Fixed budget amount &gt; Development AI and tools</t>
        </is>
      </c>
      <c r="B48" s="8">
        <f>30</f>
        <v>30</v>
      </c>
    </row>
    <row r="49" outlineLevel="1">
      <c r="A49" t="inlineStr" s="22">
        <is>
          <t xml:space="preserve">TS Fixed budget amount &gt; Domain admin and accounting</t>
        </is>
      </c>
      <c r="B49" s="8">
        <f>15</f>
        <v>15</v>
      </c>
    </row>
    <row r="50" outlineLevel="1">
      <c r="A50" t="inlineStr" s="22">
        <is>
          <t xml:space="preserve">TS Fixed budget amount &gt; Email base provision</t>
        </is>
      </c>
      <c r="B50" s="8">
        <f>10</f>
        <v>10</v>
      </c>
    </row>
    <row r="51" outlineLevel="1">
      <c r="A51" t="inlineStr" s="22">
        <is>
          <t xml:space="preserve">TS Fixed budget amount &gt; Hosting</t>
        </is>
      </c>
      <c r="B51" s="8">
        <f>40</f>
        <v>40</v>
      </c>
    </row>
    <row r="52" outlineLevel="1">
      <c r="A52" t="inlineStr" s="22">
        <is>
          <t xml:space="preserve">TS Fixed budget amount &gt; Monitoring traces and security</t>
        </is>
      </c>
      <c r="B52" s="8">
        <f>20</f>
        <v>20</v>
      </c>
    </row>
    <row r="53">
      <c r="A53" t="inlineStr" s="21">
        <is>
          <t xml:space="preserve">TS Fixed monthly budget · 04 — Scenario comparison — Base is Main Scenario</t>
        </is>
      </c>
      <c r="B53" s="8">
        <f>SUM('Model inputs'!B30,'Model inputs'!B31,'Model inputs'!B32,'Model inputs'!B33,'Model inputs'!B34,'Model inputs'!B35,'Model inputs'!B36)</f>
        <v>300</v>
      </c>
    </row>
    <row r="54">
      <c r="A54" t="inlineStr" s="21">
        <is>
          <t xml:space="preserve">TS Fixed monthly budget · 07 — Cash projection — hypothetical dates and balances</t>
        </is>
      </c>
      <c r="C54" s="8">
        <f>SUM('Model inputs'!B30,'Model inputs'!B31,'Model inputs'!B32,'Model inputs'!B33,'Model inputs'!B34,'Model inputs'!B35,'Model inputs'!B36)</f>
        <v>300</v>
      </c>
    </row>
    <row r="55">
      <c r="A55" t="inlineStr" s="21">
        <is>
          <t xml:space="preserve">TS Founder cash pay bootstrap · 04 — Scenario comparison — Base is Main Scenario · Main Scenario</t>
        </is>
      </c>
      <c r="B55" s="9">
        <f>'01 — Editable assumptions — USD'!B36</f>
        <v>0</v>
      </c>
    </row>
    <row r="56">
      <c r="A56" t="inlineStr" s="21">
        <is>
          <t xml:space="preserve">TS Founder cash pay bootstrap · 07 — Cash projection — hypothetical dates and balances · Main Scenario</t>
        </is>
      </c>
      <c r="C56" s="9">
        <f>'01 — Editable assumptions — USD'!B36</f>
        <v>0</v>
      </c>
    </row>
    <row r="57">
      <c r="A57" t="inlineStr" s="21">
        <is>
          <t xml:space="preserve">TS Founder cash pay bootstrap · TicketStub — Growth</t>
        </is>
      </c>
      <c r="B57" s="9">
        <f>'01 — Editable assumptions — USD'!B36</f>
        <v>0</v>
      </c>
    </row>
    <row r="58">
      <c r="A58" t="inlineStr" s="21">
        <is>
          <t xml:space="preserve">TS Founder cash pay bootstrap · TicketStub — Conservative</t>
        </is>
      </c>
      <c r="B58" s="9">
        <f>'01 — Editable assumptions — USD'!B36</f>
        <v>0</v>
      </c>
    </row>
    <row r="59">
      <c r="A59" t="inlineStr" s="21">
        <is>
          <t xml:space="preserve">TS Founder cash pay sensitivity · 04 — Scenario comparison — Base is Main Scenario · Main Scenario</t>
        </is>
      </c>
      <c r="B59" s="9">
        <f>'01 — Editable assumptions — USD'!B37</f>
        <v>3000</v>
      </c>
    </row>
    <row r="60">
      <c r="A60" t="inlineStr" s="21">
        <is>
          <t xml:space="preserve">TS Founder cash pay sensitivity · 07 — Cash projection — hypothetical dates and balances · Main Scenario</t>
        </is>
      </c>
      <c r="C60" s="9">
        <f>'01 — Editable assumptions — USD'!B37</f>
        <v>3000</v>
      </c>
    </row>
    <row r="61">
      <c r="A61" t="inlineStr" s="21">
        <is>
          <t xml:space="preserve">TS Founder cash pay sensitivity · TicketStub — Growth</t>
        </is>
      </c>
      <c r="B61" s="9">
        <f>'01 — Editable assumptions — USD'!B37</f>
        <v>3000</v>
      </c>
    </row>
    <row r="62">
      <c r="A62" t="inlineStr" s="21">
        <is>
          <t xml:space="preserve">TS Founder cash pay sensitivity · TicketStub — Conservative</t>
        </is>
      </c>
      <c r="B62" s="9">
        <f>'01 — Editable assumptions — USD'!B37</f>
        <v>3000</v>
      </c>
    </row>
    <row r="63">
      <c r="A63" t="inlineStr" s="21">
        <is>
          <t xml:space="preserve">TS Hypothetical launch date · 04 — Scenario comparison — Base is Main Scenario</t>
        </is>
      </c>
      <c r="B63" s="13">
        <f>DATE(2027,1,1)</f>
        <v>46388</v>
      </c>
    </row>
    <row r="64">
      <c r="A64" t="inlineStr" s="21">
        <is>
          <t xml:space="preserve">TS Hypothetical launch date · 07 — Cash projection — hypothetical dates and balances</t>
        </is>
      </c>
      <c r="C64" s="13">
        <f>DATE(2027,1,1)</f>
        <v>46388</v>
      </c>
    </row>
    <row r="65">
      <c r="A65" t="inlineStr" s="21">
        <is>
          <t xml:space="preserve">TS Hypothetical opening cash · 04 — Scenario comparison — Base is Main Scenario</t>
        </is>
      </c>
      <c r="B65" s="9">
        <f>'04 — Scenario comparison — Base'!B24</f>
        <v>1000</v>
      </c>
    </row>
    <row r="66">
      <c r="A66" t="inlineStr" s="21">
        <is>
          <t xml:space="preserve">TS Hypothetical opening cash · 07 — Cash projection — hypothetical dates and balances</t>
        </is>
      </c>
      <c r="C66" s="9">
        <f>'04 — Scenario comparison — Base'!B24</f>
        <v>1000</v>
      </c>
    </row>
    <row r="67">
      <c r="A67" t="inlineStr" s="21">
        <is>
          <t xml:space="preserve">TS Initial images per start · 04 — Scenario comparison — Base is Main Scenario · Main Scenario</t>
        </is>
      </c>
      <c r="B67" s="8">
        <f>'01 — Editable assumptions — USD'!B8</f>
        <v>1</v>
      </c>
    </row>
    <row r="68">
      <c r="A68" t="inlineStr" s="21">
        <is>
          <t xml:space="preserve">TS Initial images per start · TicketStub — Growth</t>
        </is>
      </c>
      <c r="B68" s="8">
        <f>'01 — Editable assumptions — USD'!B8</f>
        <v>1</v>
      </c>
    </row>
    <row r="69">
      <c r="A69" t="inlineStr" s="21">
        <is>
          <t xml:space="preserve">TS Initial images per start · TicketStub — Conservative</t>
        </is>
      </c>
      <c r="B69" s="8">
        <f>'01 — Editable assumptions — USD'!B8</f>
        <v>1</v>
      </c>
    </row>
    <row r="70">
      <c r="A70" t="inlineStr" s="21">
        <is>
          <t xml:space="preserve">TS Launch reserve · 04 — Scenario comparison — Base is Main Scenario</t>
        </is>
      </c>
      <c r="B70" s="8">
        <f>'Model inputs'!B16+'Model inputs'!B87/'Model inputs'!B13*'Model inputs'!B80</f>
        <v>616.011</v>
      </c>
    </row>
    <row r="71">
      <c r="A71" t="inlineStr" s="21">
        <is>
          <t xml:space="preserve">TS Launch reserve · 07 — Cash projection — hypothetical dates and balances</t>
        </is>
      </c>
      <c r="C71" s="8">
        <f>'Model inputs'!B16+'Model inputs'!B87/'Model inputs'!B13*'Model inputs'!B80</f>
        <v>616.011</v>
      </c>
    </row>
    <row r="72">
      <c r="A72" t="inlineStr" s="21">
        <is>
          <t xml:space="preserve">TS Monthly burn bootstrap · TicketStub — Growth</t>
        </is>
      </c>
      <c r="B72" s="8">
        <f>MAX(0,-'04 — Scenario comparison — Base'!D19)</f>
        <v>0</v>
      </c>
    </row>
    <row r="73">
      <c r="A73" t="inlineStr" s="21">
        <is>
          <t xml:space="preserve">TS Monthly burn bootstrap · TicketStub — Conservative</t>
        </is>
      </c>
      <c r="B73" s="8">
        <f>MAX(0,-'04 — Scenario comparison — Base'!C19)</f>
        <v>148.61999999999995</v>
      </c>
    </row>
    <row r="74">
      <c r="A74" t="inlineStr" s="21">
        <is>
          <t xml:space="preserve">TS Monthly burn founder · TicketStub — Growth</t>
        </is>
      </c>
      <c r="B74" s="8">
        <f>MAX(0,-'04 — Scenario comparison — Base'!D20)</f>
        <v>0</v>
      </c>
    </row>
    <row r="75">
      <c r="A75" t="inlineStr" s="21">
        <is>
          <t xml:space="preserve">TS Monthly burn founder · TicketStub — Conservative</t>
        </is>
      </c>
      <c r="B75" s="8">
        <f>MAX(0,-'04 — Scenario comparison — Base'!C20)</f>
        <v>3148.62</v>
      </c>
    </row>
    <row r="76">
      <c r="A76" t="inlineStr" s="21">
        <is>
          <t xml:space="preserve">TS Monthly contribution · TicketStub — Growth</t>
        </is>
      </c>
      <c r="B76" s="8">
        <f>'04 — Scenario comparison — Base'!D10*'04 — Scenario comparison — Base'!D15</f>
        <v>7470.3687500000015</v>
      </c>
    </row>
    <row r="77">
      <c r="A77" t="inlineStr" s="21">
        <is>
          <t xml:space="preserve">TS Monthly contribution · TicketStub — Conservative</t>
        </is>
      </c>
      <c r="B77" s="8">
        <f>'04 — Scenario comparison — Base'!C10*'04 — Scenario comparison — Base'!C15</f>
        <v>101.38000000000007</v>
      </c>
    </row>
    <row r="78">
      <c r="A78" t="inlineStr" s="21">
        <is>
          <t xml:space="preserve">TS Monthly marketing · 04 — Scenario comparison — Base is Main Scenario</t>
        </is>
      </c>
      <c r="B78" s="9">
        <f>'04 — Scenario comparison — Base'!B18</f>
        <v>300</v>
      </c>
    </row>
    <row r="79">
      <c r="A79" t="inlineStr" s="21">
        <is>
          <t xml:space="preserve">TS Monthly marketing · 07 — Cash projection — hypothetical dates and balances</t>
        </is>
      </c>
      <c r="C79" s="9">
        <f>'04 — Scenario comparison — Base'!B18</f>
        <v>300</v>
      </c>
    </row>
    <row r="80">
      <c r="A80" t="inlineStr" s="21">
        <is>
          <t xml:space="preserve">TS Monthly variable costs · 04 — Scenario comparison — Base is Main Scenario · Main Scenario</t>
        </is>
      </c>
      <c r="B80" s="8">
        <f>'Model inputs'!B114+'Model inputs'!B19*('Model inputs'!B84+'Model inputs'!B108+'Model inputs'!B111)</f>
        <v>497.19</v>
      </c>
    </row>
    <row r="81">
      <c r="A81" t="inlineStr" s="21">
        <is>
          <t xml:space="preserve">TS Monthly variable costs · 07 — Cash projection — hypothetical dates and balances · Main Scenario</t>
        </is>
      </c>
      <c r="C81" s="8">
        <f>'Model inputs'!B114+'Model inputs'!B19*('Model inputs'!B84+'Model inputs'!B108+'Model inputs'!B111)</f>
        <v>497.19</v>
      </c>
    </row>
    <row r="82">
      <c r="A82" t="inlineStr" s="21">
        <is>
          <t xml:space="preserve">TS Monthly variable costs · TicketStub — Growth</t>
        </is>
      </c>
      <c r="B82" s="8">
        <f>'04 — Scenario comparison — Base'!D13+'04 — Scenario comparison — Base'!D10*('Model inputs'!B85+'Model inputs'!B109+'Model inputs'!B112)</f>
        <v>1529.63125</v>
      </c>
    </row>
    <row r="83">
      <c r="A83" t="inlineStr" s="21">
        <is>
          <t xml:space="preserve">TS Monthly variable costs · TicketStub — Conservative</t>
        </is>
      </c>
      <c r="B83" s="8">
        <f>'04 — Scenario comparison — Base'!C13+'04 — Scenario comparison — Base'!C10*('Model inputs'!B86+'Model inputs'!B110+'Model inputs'!B113)</f>
        <v>348.62</v>
      </c>
    </row>
    <row r="84">
      <c r="A84" t="inlineStr" s="21">
        <is>
          <t xml:space="preserve">TS Payment fee per order · 04 — Scenario comparison — Base is Main Scenario · Main Scenario</t>
        </is>
      </c>
      <c r="B84" s="8">
        <f>'Model inputs'!B21*'Model inputs'!B119+'Model inputs'!B118</f>
        <v>0.5609999999999999</v>
      </c>
    </row>
    <row r="85">
      <c r="A85" t="inlineStr" s="21">
        <is>
          <t xml:space="preserve">TS Payment fee per order · TicketStub — Growth</t>
        </is>
      </c>
      <c r="B85" s="8">
        <f>'Model inputs'!B23*'Model inputs'!B169+'Model inputs'!B167</f>
        <v>0.5609999999999999</v>
      </c>
    </row>
    <row r="86">
      <c r="A86" t="inlineStr" s="21">
        <is>
          <t xml:space="preserve">TS Payment fee per order · TicketStub — Conservative</t>
        </is>
      </c>
      <c r="B86" s="8">
        <f>'Model inputs'!B24*'Model inputs'!B170+'Model inputs'!B168</f>
        <v>0.5609999999999999</v>
      </c>
    </row>
    <row r="87">
      <c r="A87" t="inlineStr" s="21">
        <is>
          <t xml:space="preserve">TS Payout float days · 04 — Scenario comparison — Base is Main Scenario · Main Scenario</t>
        </is>
      </c>
      <c r="B87" s="8">
        <f>'01 — Editable assumptions — USD'!B39</f>
        <v>7</v>
      </c>
    </row>
    <row r="88">
      <c r="A88" t="inlineStr" s="21">
        <is>
          <t xml:space="preserve">TS Payout float days · TicketStub — Growth</t>
        </is>
      </c>
      <c r="B88" s="8">
        <f>'01 — Editable assumptions — USD'!B39</f>
        <v>7</v>
      </c>
    </row>
    <row r="89">
      <c r="A89" t="inlineStr" s="21">
        <is>
          <t xml:space="preserve">TS Payout float days · TicketStub — Conservative</t>
        </is>
      </c>
      <c r="B89" s="8">
        <f>'01 — Editable assumptions — USD'!B39</f>
        <v>7</v>
      </c>
    </row>
    <row r="90">
      <c r="A90" t="inlineStr" s="21">
        <is>
          <t xml:space="preserve">TS Postlaunch funding months · TicketStub — Growth</t>
        </is>
      </c>
      <c r="B90" s="8">
        <f>'01 — Editable assumptions — USD'!B41</f>
        <v>6</v>
      </c>
    </row>
    <row r="91">
      <c r="A91" t="inlineStr" s="21">
        <is>
          <t xml:space="preserve">TS Postlaunch funding months · TicketStub — Conservative</t>
        </is>
      </c>
      <c r="B91" s="8">
        <f>'01 — Editable assumptions — USD'!B41</f>
        <v>6</v>
      </c>
    </row>
    <row r="92">
      <c r="A92" t="inlineStr" s="21">
        <is>
          <t xml:space="preserve">TS Prelaunch monthly burn bootstrap · TicketStub — Growth</t>
        </is>
      </c>
      <c r="B92" s="8">
        <f>'04 — Scenario comparison — Base'!D17+'04 — Scenario comparison — Base'!D18+'Model inputs'!B57</f>
        <v>2400</v>
      </c>
    </row>
    <row r="93">
      <c r="A93" t="inlineStr" s="21">
        <is>
          <t xml:space="preserve">TS Prelaunch monthly burn bootstrap · TicketStub — Conservative</t>
        </is>
      </c>
      <c r="B93" s="8">
        <f>'04 — Scenario comparison — Base'!C17+'04 — Scenario comparison — Base'!C18+'Model inputs'!B58</f>
        <v>250</v>
      </c>
    </row>
    <row r="94">
      <c r="A94" t="inlineStr" s="21">
        <is>
          <t xml:space="preserve">TS Prelaunch monthly burn founder · TicketStub — Growth</t>
        </is>
      </c>
      <c r="B94" s="8">
        <f>'04 — Scenario comparison — Base'!D17+'04 — Scenario comparison — Base'!D18+'Model inputs'!B61</f>
        <v>5400</v>
      </c>
    </row>
    <row r="95">
      <c r="A95" t="inlineStr" s="21">
        <is>
          <t xml:space="preserve">TS Prelaunch monthly burn founder · TicketStub — Conservative</t>
        </is>
      </c>
      <c r="B95" s="8">
        <f>'04 — Scenario comparison — Base'!C17+'04 — Scenario comparison — Base'!C18+'Model inputs'!B62</f>
        <v>3250</v>
      </c>
    </row>
    <row r="96">
      <c r="A96" t="inlineStr" s="21">
        <is>
          <t xml:space="preserve">TS Prelaunch months · TicketStub — Growth</t>
        </is>
      </c>
      <c r="B96" s="8">
        <f>DATEDIF(DATE(YEAR('Model inputs'!B172),MONTH('Model inputs'!B172),1),DATE(YEAR('Model inputs'!B162),MONTH('Model inputs'!B162),1),"M")</f>
        <v>3</v>
      </c>
    </row>
    <row r="97">
      <c r="A97" t="inlineStr" s="21">
        <is>
          <t xml:space="preserve">TS Prelaunch months · TicketStub — Conservative</t>
        </is>
      </c>
      <c r="B97" s="8">
        <f>DATEDIF(DATE(YEAR('Model inputs'!B173),MONTH('Model inputs'!B173),1),DATE(YEAR('Model inputs'!B163),MONTH('Model inputs'!B163),1),"M")</f>
        <v>3</v>
      </c>
    </row>
    <row r="98">
      <c r="A98" t="inlineStr" s="21">
        <is>
          <t xml:space="preserve">TS Projected cash bootstrap</t>
        </is>
      </c>
      <c r="D98" s="8">
        <v>0</v>
      </c>
      <c r="E98" s="8">
        <f>IF(IF(IF(IF(ISERROR(DATE(2026,10,1)=DATE(YEAR('Model inputs'!B105),MONTH('Model inputs'!B105),1)),DATE(2026,10,1)=DATE(YEAR('Model inputs'!B105),MONTH('Model inputs'!B105),1),IF(DATE(YEAR('Model inputs'!B105),MONTH('Model inputs'!B105),1)="","",DATE(2026,10,1)=DATE(YEAR('Model inputs'!B105),MONTH('Model inputs'!B105),1)))="",FALSE,IF(ISERROR(DATE(2026,10,1)=DATE(YEAR('Model inputs'!B105),MONTH('Model inputs'!B105),1)),DATE(2026,10,1)=DATE(YEAR('Model inputs'!B105),MONTH('Model inputs'!B105),1),IF(DATE(YEAR('Model inputs'!B105),MONTH('Model inputs'!B105),1)="","",DATE(2026,10,1)=DATE(YEAR('Model inputs'!B105),MONTH('Model inputs'!B105),1)))),IF('Model inputs'!B65="","",'Model inputs'!B65),IF('Model inputs'!D98="","",'Model inputs'!D98))="",0,IF(IF(IF(ISERROR(DATE(2026,10,1)=DATE(YEAR('Model inputs'!B105),MONTH('Model inputs'!B105),1)),DATE(2026,10,1)=DATE(YEAR('Model inputs'!B105),MONTH('Model inputs'!B105),1),IF(DATE(YEAR('Model inputs'!B105),MONTH('Model inputs'!B105),1)="","",DATE(2026,10,1)=DATE(YEAR('Model inputs'!B105),MONTH('Model inputs'!B105),1)))="",FALSE,IF(ISERROR(DATE(2026,10,1)=DATE(YEAR('Model inputs'!B105),MONTH('Model inputs'!B105),1)),DATE(2026,10,1)=DATE(YEAR('Model inputs'!B105),MONTH('Model inputs'!B105),1),IF(DATE(YEAR('Model inputs'!B105),MONTH('Model inputs'!B105),1)="","",DATE(2026,10,1)=DATE(YEAR('Model inputs'!B105),MONTH('Model inputs'!B105),1)))),IF('Model inputs'!B65="","",'Model inputs'!B65),IF('Model inputs'!D98="","",'Model inputs'!D98)))+'Model inputs'!E99</f>
        <v>400</v>
      </c>
      <c r="F98" s="8">
        <f>IF(IF(IF(IF(ISERROR(DATE(2026,11,1)=DATE(YEAR('Model inputs'!B105),MONTH('Model inputs'!B105),1)),DATE(2026,11,1)=DATE(YEAR('Model inputs'!B105),MONTH('Model inputs'!B105),1),IF(DATE(YEAR('Model inputs'!B105),MONTH('Model inputs'!B105),1)="","",DATE(2026,11,1)=DATE(YEAR('Model inputs'!B105),MONTH('Model inputs'!B105),1)))="",FALSE,IF(ISERROR(DATE(2026,11,1)=DATE(YEAR('Model inputs'!B105),MONTH('Model inputs'!B105),1)),DATE(2026,11,1)=DATE(YEAR('Model inputs'!B105),MONTH('Model inputs'!B105),1),IF(DATE(YEAR('Model inputs'!B105),MONTH('Model inputs'!B105),1)="","",DATE(2026,11,1)=DATE(YEAR('Model inputs'!B105),MONTH('Model inputs'!B105),1)))),IF('Model inputs'!B65="","",'Model inputs'!B65),IF('Model inputs'!E98="","",'Model inputs'!E98))="",0,IF(IF(IF(ISERROR(DATE(2026,11,1)=DATE(YEAR('Model inputs'!B105),MONTH('Model inputs'!B105),1)),DATE(2026,11,1)=DATE(YEAR('Model inputs'!B105),MONTH('Model inputs'!B105),1),IF(DATE(YEAR('Model inputs'!B105),MONTH('Model inputs'!B105),1)="","",DATE(2026,11,1)=DATE(YEAR('Model inputs'!B105),MONTH('Model inputs'!B105),1)))="",FALSE,IF(ISERROR(DATE(2026,11,1)=DATE(YEAR('Model inputs'!B105),MONTH('Model inputs'!B105),1)),DATE(2026,11,1)=DATE(YEAR('Model inputs'!B105),MONTH('Model inputs'!B105),1),IF(DATE(YEAR('Model inputs'!B105),MONTH('Model inputs'!B105),1)="","",DATE(2026,11,1)=DATE(YEAR('Model inputs'!B105),MONTH('Model inputs'!B105),1)))),IF('Model inputs'!B65="","",'Model inputs'!B65),IF('Model inputs'!E98="","",'Model inputs'!E98)))+'Model inputs'!F99</f>
        <v>-200</v>
      </c>
      <c r="G98" s="8">
        <f>IF(IF(IF(IF(ISERROR(DATE(2026,12,1)=DATE(YEAR('Model inputs'!B105),MONTH('Model inputs'!B105),1)),DATE(2026,12,1)=DATE(YEAR('Model inputs'!B105),MONTH('Model inputs'!B105),1),IF(DATE(YEAR('Model inputs'!B105),MONTH('Model inputs'!B105),1)="","",DATE(2026,12,1)=DATE(YEAR('Model inputs'!B105),MONTH('Model inputs'!B105),1)))="",FALSE,IF(ISERROR(DATE(2026,12,1)=DATE(YEAR('Model inputs'!B105),MONTH('Model inputs'!B105),1)),DATE(2026,12,1)=DATE(YEAR('Model inputs'!B105),MONTH('Model inputs'!B105),1),IF(DATE(YEAR('Model inputs'!B105),MONTH('Model inputs'!B105),1)="","",DATE(2026,12,1)=DATE(YEAR('Model inputs'!B105),MONTH('Model inputs'!B105),1)))),IF('Model inputs'!B65="","",'Model inputs'!B65),IF('Model inputs'!F98="","",'Model inputs'!F98))="",0,IF(IF(IF(ISERROR(DATE(2026,12,1)=DATE(YEAR('Model inputs'!B105),MONTH('Model inputs'!B105),1)),DATE(2026,12,1)=DATE(YEAR('Model inputs'!B105),MONTH('Model inputs'!B105),1),IF(DATE(YEAR('Model inputs'!B105),MONTH('Model inputs'!B105),1)="","",DATE(2026,12,1)=DATE(YEAR('Model inputs'!B105),MONTH('Model inputs'!B105),1)))="",FALSE,IF(ISERROR(DATE(2026,12,1)=DATE(YEAR('Model inputs'!B105),MONTH('Model inputs'!B105),1)),DATE(2026,12,1)=DATE(YEAR('Model inputs'!B105),MONTH('Model inputs'!B105),1),IF(DATE(YEAR('Model inputs'!B105),MONTH('Model inputs'!B105),1)="","",DATE(2026,12,1)=DATE(YEAR('Model inputs'!B105),MONTH('Model inputs'!B105),1)))),IF('Model inputs'!B65="","",'Model inputs'!B65),IF('Model inputs'!F98="","",'Model inputs'!F98)))+'Model inputs'!G99</f>
        <v>-800</v>
      </c>
      <c r="H98" s="8">
        <f>IF(IF(IF(IF(ISERROR(DATE(2027,1,1)=DATE(YEAR('Model inputs'!B105),MONTH('Model inputs'!B105),1)),DATE(2027,1,1)=DATE(YEAR('Model inputs'!B105),MONTH('Model inputs'!B105),1),IF(DATE(YEAR('Model inputs'!B105),MONTH('Model inputs'!B105),1)="","",DATE(2027,1,1)=DATE(YEAR('Model inputs'!B105),MONTH('Model inputs'!B105),1)))="",FALSE,IF(ISERROR(DATE(2027,1,1)=DATE(YEAR('Model inputs'!B105),MONTH('Model inputs'!B105),1)),DATE(2027,1,1)=DATE(YEAR('Model inputs'!B105),MONTH('Model inputs'!B105),1),IF(DATE(YEAR('Model inputs'!B105),MONTH('Model inputs'!B105),1)="","",DATE(2027,1,1)=DATE(YEAR('Model inputs'!B105),MONTH('Model inputs'!B105),1)))),IF('Model inputs'!B65="","",'Model inputs'!B65),IF('Model inputs'!G98="","",'Model inputs'!G98))="",0,IF(IF(IF(ISERROR(DATE(2027,1,1)=DATE(YEAR('Model inputs'!B105),MONTH('Model inputs'!B105),1)),DATE(2027,1,1)=DATE(YEAR('Model inputs'!B105),MONTH('Model inputs'!B105),1),IF(DATE(YEAR('Model inputs'!B105),MONTH('Model inputs'!B105),1)="","",DATE(2027,1,1)=DATE(YEAR('Model inputs'!B105),MONTH('Model inputs'!B105),1)))="",FALSE,IF(ISERROR(DATE(2027,1,1)=DATE(YEAR('Model inputs'!B105),MONTH('Model inputs'!B105),1)),DATE(2027,1,1)=DATE(YEAR('Model inputs'!B105),MONTH('Model inputs'!B105),1),IF(DATE(YEAR('Model inputs'!B105),MONTH('Model inputs'!B105),1)="","",DATE(2027,1,1)=DATE(YEAR('Model inputs'!B105),MONTH('Model inputs'!B105),1)))),IF('Model inputs'!B65="","",'Model inputs'!B65),IF('Model inputs'!G98="","",'Model inputs'!G98)))+'Model inputs'!H99</f>
        <v>-97.19000000000005</v>
      </c>
      <c r="I98" s="8">
        <f>IF(IF(IF(IF(ISERROR(DATE(2027,2,1)=DATE(YEAR('Model inputs'!B105),MONTH('Model inputs'!B105),1)),DATE(2027,2,1)=DATE(YEAR('Model inputs'!B105),MONTH('Model inputs'!B105),1),IF(DATE(YEAR('Model inputs'!B105),MONTH('Model inputs'!B105),1)="","",DATE(2027,2,1)=DATE(YEAR('Model inputs'!B105),MONTH('Model inputs'!B105),1)))="",FALSE,IF(ISERROR(DATE(2027,2,1)=DATE(YEAR('Model inputs'!B105),MONTH('Model inputs'!B105),1)),DATE(2027,2,1)=DATE(YEAR('Model inputs'!B105),MONTH('Model inputs'!B105),1),IF(DATE(YEAR('Model inputs'!B105),MONTH('Model inputs'!B105),1)="","",DATE(2027,2,1)=DATE(YEAR('Model inputs'!B105),MONTH('Model inputs'!B105),1)))),IF('Model inputs'!B65="","",'Model inputs'!B65),IF('Model inputs'!H98="","",'Model inputs'!H98))="",0,IF(IF(IF(ISERROR(DATE(2027,2,1)=DATE(YEAR('Model inputs'!B105),MONTH('Model inputs'!B105),1)),DATE(2027,2,1)=DATE(YEAR('Model inputs'!B105),MONTH('Model inputs'!B105),1),IF(DATE(YEAR('Model inputs'!B105),MONTH('Model inputs'!B105),1)="","",DATE(2027,2,1)=DATE(YEAR('Model inputs'!B105),MONTH('Model inputs'!B105),1)))="",FALSE,IF(ISERROR(DATE(2027,2,1)=DATE(YEAR('Model inputs'!B105),MONTH('Model inputs'!B105),1)),DATE(2027,2,1)=DATE(YEAR('Model inputs'!B105),MONTH('Model inputs'!B105),1),IF(DATE(YEAR('Model inputs'!B105),MONTH('Model inputs'!B105),1)="","",DATE(2027,2,1)=DATE(YEAR('Model inputs'!B105),MONTH('Model inputs'!B105),1)))),IF('Model inputs'!B65="","",'Model inputs'!B65),IF('Model inputs'!H98="","",'Model inputs'!H98)))+'Model inputs'!I99</f>
        <v>605.6199999999999</v>
      </c>
      <c r="J98" s="8">
        <f>IF(IF(IF(IF(ISERROR(DATE(2027,3,1)=DATE(YEAR('Model inputs'!B105),MONTH('Model inputs'!B105),1)),DATE(2027,3,1)=DATE(YEAR('Model inputs'!B105),MONTH('Model inputs'!B105),1),IF(DATE(YEAR('Model inputs'!B105),MONTH('Model inputs'!B105),1)="","",DATE(2027,3,1)=DATE(YEAR('Model inputs'!B105),MONTH('Model inputs'!B105),1)))="",FALSE,IF(ISERROR(DATE(2027,3,1)=DATE(YEAR('Model inputs'!B105),MONTH('Model inputs'!B105),1)),DATE(2027,3,1)=DATE(YEAR('Model inputs'!B105),MONTH('Model inputs'!B105),1),IF(DATE(YEAR('Model inputs'!B105),MONTH('Model inputs'!B105),1)="","",DATE(2027,3,1)=DATE(YEAR('Model inputs'!B105),MONTH('Model inputs'!B105),1)))),IF('Model inputs'!B65="","",'Model inputs'!B65),IF('Model inputs'!I98="","",'Model inputs'!I98))="",0,IF(IF(IF(ISERROR(DATE(2027,3,1)=DATE(YEAR('Model inputs'!B105),MONTH('Model inputs'!B105),1)),DATE(2027,3,1)=DATE(YEAR('Model inputs'!B105),MONTH('Model inputs'!B105),1),IF(DATE(YEAR('Model inputs'!B105),MONTH('Model inputs'!B105),1)="","",DATE(2027,3,1)=DATE(YEAR('Model inputs'!B105),MONTH('Model inputs'!B105),1)))="",FALSE,IF(ISERROR(DATE(2027,3,1)=DATE(YEAR('Model inputs'!B105),MONTH('Model inputs'!B105),1)),DATE(2027,3,1)=DATE(YEAR('Model inputs'!B105),MONTH('Model inputs'!B105),1),IF(DATE(YEAR('Model inputs'!B105),MONTH('Model inputs'!B105),1)="","",DATE(2027,3,1)=DATE(YEAR('Model inputs'!B105),MONTH('Model inputs'!B105),1)))),IF('Model inputs'!B65="","",'Model inputs'!B65),IF('Model inputs'!I98="","",'Model inputs'!I98)))+'Model inputs'!J99</f>
        <v>1308.4299999999998</v>
      </c>
      <c r="K98" s="8">
        <f>IF(IF(IF(IF(ISERROR(DATE(2027,4,1)=DATE(YEAR('Model inputs'!B105),MONTH('Model inputs'!B105),1)),DATE(2027,4,1)=DATE(YEAR('Model inputs'!B105),MONTH('Model inputs'!B105),1),IF(DATE(YEAR('Model inputs'!B105),MONTH('Model inputs'!B105),1)="","",DATE(2027,4,1)=DATE(YEAR('Model inputs'!B105),MONTH('Model inputs'!B105),1)))="",FALSE,IF(ISERROR(DATE(2027,4,1)=DATE(YEAR('Model inputs'!B105),MONTH('Model inputs'!B105),1)),DATE(2027,4,1)=DATE(YEAR('Model inputs'!B105),MONTH('Model inputs'!B105),1),IF(DATE(YEAR('Model inputs'!B105),MONTH('Model inputs'!B105),1)="","",DATE(2027,4,1)=DATE(YEAR('Model inputs'!B105),MONTH('Model inputs'!B105),1)))),IF('Model inputs'!B65="","",'Model inputs'!B65),IF('Model inputs'!J98="","",'Model inputs'!J98))="",0,IF(IF(IF(ISERROR(DATE(2027,4,1)=DATE(YEAR('Model inputs'!B105),MONTH('Model inputs'!B105),1)),DATE(2027,4,1)=DATE(YEAR('Model inputs'!B105),MONTH('Model inputs'!B105),1),IF(DATE(YEAR('Model inputs'!B105),MONTH('Model inputs'!B105),1)="","",DATE(2027,4,1)=DATE(YEAR('Model inputs'!B105),MONTH('Model inputs'!B105),1)))="",FALSE,IF(ISERROR(DATE(2027,4,1)=DATE(YEAR('Model inputs'!B105),MONTH('Model inputs'!B105),1)),DATE(2027,4,1)=DATE(YEAR('Model inputs'!B105),MONTH('Model inputs'!B105),1),IF(DATE(YEAR('Model inputs'!B105),MONTH('Model inputs'!B105),1)="","",DATE(2027,4,1)=DATE(YEAR('Model inputs'!B105),MONTH('Model inputs'!B105),1)))),IF('Model inputs'!B65="","",'Model inputs'!B65),IF('Model inputs'!J98="","",'Model inputs'!J98)))+'Model inputs'!K99</f>
        <v>2011.2399999999998</v>
      </c>
      <c r="L98" s="8">
        <f>IF(IF(IF(IF(ISERROR(DATE(2027,5,1)=DATE(YEAR('Model inputs'!B105),MONTH('Model inputs'!B105),1)),DATE(2027,5,1)=DATE(YEAR('Model inputs'!B105),MONTH('Model inputs'!B105),1),IF(DATE(YEAR('Model inputs'!B105),MONTH('Model inputs'!B105),1)="","",DATE(2027,5,1)=DATE(YEAR('Model inputs'!B105),MONTH('Model inputs'!B105),1)))="",FALSE,IF(ISERROR(DATE(2027,5,1)=DATE(YEAR('Model inputs'!B105),MONTH('Model inputs'!B105),1)),DATE(2027,5,1)=DATE(YEAR('Model inputs'!B105),MONTH('Model inputs'!B105),1),IF(DATE(YEAR('Model inputs'!B105),MONTH('Model inputs'!B105),1)="","",DATE(2027,5,1)=DATE(YEAR('Model inputs'!B105),MONTH('Model inputs'!B105),1)))),IF('Model inputs'!B65="","",'Model inputs'!B65),IF('Model inputs'!K98="","",'Model inputs'!K98))="",0,IF(IF(IF(ISERROR(DATE(2027,5,1)=DATE(YEAR('Model inputs'!B105),MONTH('Model inputs'!B105),1)),DATE(2027,5,1)=DATE(YEAR('Model inputs'!B105),MONTH('Model inputs'!B105),1),IF(DATE(YEAR('Model inputs'!B105),MONTH('Model inputs'!B105),1)="","",DATE(2027,5,1)=DATE(YEAR('Model inputs'!B105),MONTH('Model inputs'!B105),1)))="",FALSE,IF(ISERROR(DATE(2027,5,1)=DATE(YEAR('Model inputs'!B105),MONTH('Model inputs'!B105),1)),DATE(2027,5,1)=DATE(YEAR('Model inputs'!B105),MONTH('Model inputs'!B105),1),IF(DATE(YEAR('Model inputs'!B105),MONTH('Model inputs'!B105),1)="","",DATE(2027,5,1)=DATE(YEAR('Model inputs'!B105),MONTH('Model inputs'!B105),1)))),IF('Model inputs'!B65="","",'Model inputs'!B65),IF('Model inputs'!K98="","",'Model inputs'!K98)))+'Model inputs'!L99</f>
        <v>2714.0499999999997</v>
      </c>
      <c r="M98" s="8">
        <f>IF(IF(IF(IF(ISERROR(DATE(2027,6,1)=DATE(YEAR('Model inputs'!B105),MONTH('Model inputs'!B105),1)),DATE(2027,6,1)=DATE(YEAR('Model inputs'!B105),MONTH('Model inputs'!B105),1),IF(DATE(YEAR('Model inputs'!B105),MONTH('Model inputs'!B105),1)="","",DATE(2027,6,1)=DATE(YEAR('Model inputs'!B105),MONTH('Model inputs'!B105),1)))="",FALSE,IF(ISERROR(DATE(2027,6,1)=DATE(YEAR('Model inputs'!B105),MONTH('Model inputs'!B105),1)),DATE(2027,6,1)=DATE(YEAR('Model inputs'!B105),MONTH('Model inputs'!B105),1),IF(DATE(YEAR('Model inputs'!B105),MONTH('Model inputs'!B105),1)="","",DATE(2027,6,1)=DATE(YEAR('Model inputs'!B105),MONTH('Model inputs'!B105),1)))),IF('Model inputs'!B65="","",'Model inputs'!B65),IF('Model inputs'!L98="","",'Model inputs'!L98))="",0,IF(IF(IF(ISERROR(DATE(2027,6,1)=DATE(YEAR('Model inputs'!B105),MONTH('Model inputs'!B105),1)),DATE(2027,6,1)=DATE(YEAR('Model inputs'!B105),MONTH('Model inputs'!B105),1),IF(DATE(YEAR('Model inputs'!B105),MONTH('Model inputs'!B105),1)="","",DATE(2027,6,1)=DATE(YEAR('Model inputs'!B105),MONTH('Model inputs'!B105),1)))="",FALSE,IF(ISERROR(DATE(2027,6,1)=DATE(YEAR('Model inputs'!B105),MONTH('Model inputs'!B105),1)),DATE(2027,6,1)=DATE(YEAR('Model inputs'!B105),MONTH('Model inputs'!B105),1),IF(DATE(YEAR('Model inputs'!B105),MONTH('Model inputs'!B105),1)="","",DATE(2027,6,1)=DATE(YEAR('Model inputs'!B105),MONTH('Model inputs'!B105),1)))),IF('Model inputs'!B65="","",'Model inputs'!B65),IF('Model inputs'!L98="","",'Model inputs'!L98)))+'Model inputs'!M99</f>
        <v>3416.8599999999997</v>
      </c>
      <c r="N98" s="8">
        <f>IF(IF(IF(IF(ISERROR(DATE(2027,7,1)=DATE(YEAR('Model inputs'!B105),MONTH('Model inputs'!B105),1)),DATE(2027,7,1)=DATE(YEAR('Model inputs'!B105),MONTH('Model inputs'!B105),1),IF(DATE(YEAR('Model inputs'!B105),MONTH('Model inputs'!B105),1)="","",DATE(2027,7,1)=DATE(YEAR('Model inputs'!B105),MONTH('Model inputs'!B105),1)))="",FALSE,IF(ISERROR(DATE(2027,7,1)=DATE(YEAR('Model inputs'!B105),MONTH('Model inputs'!B105),1)),DATE(2027,7,1)=DATE(YEAR('Model inputs'!B105),MONTH('Model inputs'!B105),1),IF(DATE(YEAR('Model inputs'!B105),MONTH('Model inputs'!B105),1)="","",DATE(2027,7,1)=DATE(YEAR('Model inputs'!B105),MONTH('Model inputs'!B105),1)))),IF('Model inputs'!B65="","",'Model inputs'!B65),IF('Model inputs'!M98="","",'Model inputs'!M98))="",0,IF(IF(IF(ISERROR(DATE(2027,7,1)=DATE(YEAR('Model inputs'!B105),MONTH('Model inputs'!B105),1)),DATE(2027,7,1)=DATE(YEAR('Model inputs'!B105),MONTH('Model inputs'!B105),1),IF(DATE(YEAR('Model inputs'!B105),MONTH('Model inputs'!B105),1)="","",DATE(2027,7,1)=DATE(YEAR('Model inputs'!B105),MONTH('Model inputs'!B105),1)))="",FALSE,IF(ISERROR(DATE(2027,7,1)=DATE(YEAR('Model inputs'!B105),MONTH('Model inputs'!B105),1)),DATE(2027,7,1)=DATE(YEAR('Model inputs'!B105),MONTH('Model inputs'!B105),1),IF(DATE(YEAR('Model inputs'!B105),MONTH('Model inputs'!B105),1)="","",DATE(2027,7,1)=DATE(YEAR('Model inputs'!B105),MONTH('Model inputs'!B105),1)))),IF('Model inputs'!B65="","",'Model inputs'!B65),IF('Model inputs'!M98="","",'Model inputs'!M98)))+'Model inputs'!N99</f>
        <v>4119.67</v>
      </c>
      <c r="O98" s="8">
        <f>IF(IF(IF(IF(ISERROR(DATE(2027,8,1)=DATE(YEAR('Model inputs'!B105),MONTH('Model inputs'!B105),1)),DATE(2027,8,1)=DATE(YEAR('Model inputs'!B105),MONTH('Model inputs'!B105),1),IF(DATE(YEAR('Model inputs'!B105),MONTH('Model inputs'!B105),1)="","",DATE(2027,8,1)=DATE(YEAR('Model inputs'!B105),MONTH('Model inputs'!B105),1)))="",FALSE,IF(ISERROR(DATE(2027,8,1)=DATE(YEAR('Model inputs'!B105),MONTH('Model inputs'!B105),1)),DATE(2027,8,1)=DATE(YEAR('Model inputs'!B105),MONTH('Model inputs'!B105),1),IF(DATE(YEAR('Model inputs'!B105),MONTH('Model inputs'!B105),1)="","",DATE(2027,8,1)=DATE(YEAR('Model inputs'!B105),MONTH('Model inputs'!B105),1)))),IF('Model inputs'!B65="","",'Model inputs'!B65),IF('Model inputs'!N98="","",'Model inputs'!N98))="",0,IF(IF(IF(ISERROR(DATE(2027,8,1)=DATE(YEAR('Model inputs'!B105),MONTH('Model inputs'!B105),1)),DATE(2027,8,1)=DATE(YEAR('Model inputs'!B105),MONTH('Model inputs'!B105),1),IF(DATE(YEAR('Model inputs'!B105),MONTH('Model inputs'!B105),1)="","",DATE(2027,8,1)=DATE(YEAR('Model inputs'!B105),MONTH('Model inputs'!B105),1)))="",FALSE,IF(ISERROR(DATE(2027,8,1)=DATE(YEAR('Model inputs'!B105),MONTH('Model inputs'!B105),1)),DATE(2027,8,1)=DATE(YEAR('Model inputs'!B105),MONTH('Model inputs'!B105),1),IF(DATE(YEAR('Model inputs'!B105),MONTH('Model inputs'!B105),1)="","",DATE(2027,8,1)=DATE(YEAR('Model inputs'!B105),MONTH('Model inputs'!B105),1)))),IF('Model inputs'!B65="","",'Model inputs'!B65),IF('Model inputs'!N98="","",'Model inputs'!N98)))+'Model inputs'!O99</f>
        <v>4822.48</v>
      </c>
      <c r="P98" s="8">
        <f>IF(IF(IF(IF(ISERROR(DATE(2027,9,1)=DATE(YEAR('Model inputs'!B105),MONTH('Model inputs'!B105),1)),DATE(2027,9,1)=DATE(YEAR('Model inputs'!B105),MONTH('Model inputs'!B105),1),IF(DATE(YEAR('Model inputs'!B105),MONTH('Model inputs'!B105),1)="","",DATE(2027,9,1)=DATE(YEAR('Model inputs'!B105),MONTH('Model inputs'!B105),1)))="",FALSE,IF(ISERROR(DATE(2027,9,1)=DATE(YEAR('Model inputs'!B105),MONTH('Model inputs'!B105),1)),DATE(2027,9,1)=DATE(YEAR('Model inputs'!B105),MONTH('Model inputs'!B105),1),IF(DATE(YEAR('Model inputs'!B105),MONTH('Model inputs'!B105),1)="","",DATE(2027,9,1)=DATE(YEAR('Model inputs'!B105),MONTH('Model inputs'!B105),1)))),IF('Model inputs'!B65="","",'Model inputs'!B65),IF('Model inputs'!O98="","",'Model inputs'!O98))="",0,IF(IF(IF(ISERROR(DATE(2027,9,1)=DATE(YEAR('Model inputs'!B105),MONTH('Model inputs'!B105),1)),DATE(2027,9,1)=DATE(YEAR('Model inputs'!B105),MONTH('Model inputs'!B105),1),IF(DATE(YEAR('Model inputs'!B105),MONTH('Model inputs'!B105),1)="","",DATE(2027,9,1)=DATE(YEAR('Model inputs'!B105),MONTH('Model inputs'!B105),1)))="",FALSE,IF(ISERROR(DATE(2027,9,1)=DATE(YEAR('Model inputs'!B105),MONTH('Model inputs'!B105),1)),DATE(2027,9,1)=DATE(YEAR('Model inputs'!B105),MONTH('Model inputs'!B105),1),IF(DATE(YEAR('Model inputs'!B105),MONTH('Model inputs'!B105),1)="","",DATE(2027,9,1)=DATE(YEAR('Model inputs'!B105),MONTH('Model inputs'!B105),1)))),IF('Model inputs'!B65="","",'Model inputs'!B65),IF('Model inputs'!O98="","",'Model inputs'!O98)))+'Model inputs'!P99</f>
        <v>5525.289999999999</v>
      </c>
      <c r="Q98" s="8">
        <f>IF(IF(IF(IF(ISERROR(DATE(2027,10,1)=DATE(YEAR('Model inputs'!B105),MONTH('Model inputs'!B105),1)),DATE(2027,10,1)=DATE(YEAR('Model inputs'!B105),MONTH('Model inputs'!B105),1),IF(DATE(YEAR('Model inputs'!B105),MONTH('Model inputs'!B105),1)="","",DATE(2027,10,1)=DATE(YEAR('Model inputs'!B105),MONTH('Model inputs'!B105),1)))="",FALSE,IF(ISERROR(DATE(2027,10,1)=DATE(YEAR('Model inputs'!B105),MONTH('Model inputs'!B105),1)),DATE(2027,10,1)=DATE(YEAR('Model inputs'!B105),MONTH('Model inputs'!B105),1),IF(DATE(YEAR('Model inputs'!B105),MONTH('Model inputs'!B105),1)="","",DATE(2027,10,1)=DATE(YEAR('Model inputs'!B105),MONTH('Model inputs'!B105),1)))),IF('Model inputs'!B65="","",'Model inputs'!B65),IF('Model inputs'!P98="","",'Model inputs'!P98))="",0,IF(IF(IF(ISERROR(DATE(2027,10,1)=DATE(YEAR('Model inputs'!B105),MONTH('Model inputs'!B105),1)),DATE(2027,10,1)=DATE(YEAR('Model inputs'!B105),MONTH('Model inputs'!B105),1),IF(DATE(YEAR('Model inputs'!B105),MONTH('Model inputs'!B105),1)="","",DATE(2027,10,1)=DATE(YEAR('Model inputs'!B105),MONTH('Model inputs'!B105),1)))="",FALSE,IF(ISERROR(DATE(2027,10,1)=DATE(YEAR('Model inputs'!B105),MONTH('Model inputs'!B105),1)),DATE(2027,10,1)=DATE(YEAR('Model inputs'!B105),MONTH('Model inputs'!B105),1),IF(DATE(YEAR('Model inputs'!B105),MONTH('Model inputs'!B105),1)="","",DATE(2027,10,1)=DATE(YEAR('Model inputs'!B105),MONTH('Model inputs'!B105),1)))),IF('Model inputs'!B65="","",'Model inputs'!B65),IF('Model inputs'!P98="","",'Model inputs'!P98)))+'Model inputs'!Q99</f>
        <v>6228.0999999999985</v>
      </c>
      <c r="R98" s="8">
        <f>IF(IF(IF(IF(ISERROR(DATE(2027,11,1)=DATE(YEAR('Model inputs'!B105),MONTH('Model inputs'!B105),1)),DATE(2027,11,1)=DATE(YEAR('Model inputs'!B105),MONTH('Model inputs'!B105),1),IF(DATE(YEAR('Model inputs'!B105),MONTH('Model inputs'!B105),1)="","",DATE(2027,11,1)=DATE(YEAR('Model inputs'!B105),MONTH('Model inputs'!B105),1)))="",FALSE,IF(ISERROR(DATE(2027,11,1)=DATE(YEAR('Model inputs'!B105),MONTH('Model inputs'!B105),1)),DATE(2027,11,1)=DATE(YEAR('Model inputs'!B105),MONTH('Model inputs'!B105),1),IF(DATE(YEAR('Model inputs'!B105),MONTH('Model inputs'!B105),1)="","",DATE(2027,11,1)=DATE(YEAR('Model inputs'!B105),MONTH('Model inputs'!B105),1)))),IF('Model inputs'!B65="","",'Model inputs'!B65),IF('Model inputs'!Q98="","",'Model inputs'!Q98))="",0,IF(IF(IF(ISERROR(DATE(2027,11,1)=DATE(YEAR('Model inputs'!B105),MONTH('Model inputs'!B105),1)),DATE(2027,11,1)=DATE(YEAR('Model inputs'!B105),MONTH('Model inputs'!B105),1),IF(DATE(YEAR('Model inputs'!B105),MONTH('Model inputs'!B105),1)="","",DATE(2027,11,1)=DATE(YEAR('Model inputs'!B105),MONTH('Model inputs'!B105),1)))="",FALSE,IF(ISERROR(DATE(2027,11,1)=DATE(YEAR('Model inputs'!B105),MONTH('Model inputs'!B105),1)),DATE(2027,11,1)=DATE(YEAR('Model inputs'!B105),MONTH('Model inputs'!B105),1),IF(DATE(YEAR('Model inputs'!B105),MONTH('Model inputs'!B105),1)="","",DATE(2027,11,1)=DATE(YEAR('Model inputs'!B105),MONTH('Model inputs'!B105),1)))),IF('Model inputs'!B65="","",'Model inputs'!B65),IF('Model inputs'!Q98="","",'Model inputs'!Q98)))+'Model inputs'!R99</f>
        <v>6930.909999999998</v>
      </c>
      <c r="S98" s="8">
        <f>IF(IF(IF(IF(ISERROR(DATE(2027,12,1)=DATE(YEAR('Model inputs'!B105),MONTH('Model inputs'!B105),1)),DATE(2027,12,1)=DATE(YEAR('Model inputs'!B105),MONTH('Model inputs'!B105),1),IF(DATE(YEAR('Model inputs'!B105),MONTH('Model inputs'!B105),1)="","",DATE(2027,12,1)=DATE(YEAR('Model inputs'!B105),MONTH('Model inputs'!B105),1)))="",FALSE,IF(ISERROR(DATE(2027,12,1)=DATE(YEAR('Model inputs'!B105),MONTH('Model inputs'!B105),1)),DATE(2027,12,1)=DATE(YEAR('Model inputs'!B105),MONTH('Model inputs'!B105),1),IF(DATE(YEAR('Model inputs'!B105),MONTH('Model inputs'!B105),1)="","",DATE(2027,12,1)=DATE(YEAR('Model inputs'!B105),MONTH('Model inputs'!B105),1)))),IF('Model inputs'!B65="","",'Model inputs'!B65),IF('Model inputs'!R98="","",'Model inputs'!R98))="",0,IF(IF(IF(ISERROR(DATE(2027,12,1)=DATE(YEAR('Model inputs'!B105),MONTH('Model inputs'!B105),1)),DATE(2027,12,1)=DATE(YEAR('Model inputs'!B105),MONTH('Model inputs'!B105),1),IF(DATE(YEAR('Model inputs'!B105),MONTH('Model inputs'!B105),1)="","",DATE(2027,12,1)=DATE(YEAR('Model inputs'!B105),MONTH('Model inputs'!B105),1)))="",FALSE,IF(ISERROR(DATE(2027,12,1)=DATE(YEAR('Model inputs'!B105),MONTH('Model inputs'!B105),1)),DATE(2027,12,1)=DATE(YEAR('Model inputs'!B105),MONTH('Model inputs'!B105),1),IF(DATE(YEAR('Model inputs'!B105),MONTH('Model inputs'!B105),1)="","",DATE(2027,12,1)=DATE(YEAR('Model inputs'!B105),MONTH('Model inputs'!B105),1)))),IF('Model inputs'!B65="","",'Model inputs'!B65),IF('Model inputs'!R98="","",'Model inputs'!R98)))+'Model inputs'!S99</f>
        <v>7633.7199999999975</v>
      </c>
    </row>
    <row r="99">
      <c r="A99" t="inlineStr" s="21">
        <is>
          <t xml:space="preserve">TS Projected cash flow bootstrap</t>
        </is>
      </c>
      <c r="D99" s="8">
        <v>0</v>
      </c>
      <c r="E99" s="8">
        <f>'Model inputs'!E103-'Model inputs'!E104-'Model inputs'!B53-'Model inputs'!B78-'Model inputs'!B55+'Model inputs'!C25+'Model inputs'!C107</f>
        <v>-600</v>
      </c>
      <c r="F99" s="8">
        <f>'Model inputs'!F103-'Model inputs'!F104-'Model inputs'!B53-'Model inputs'!B78-'Model inputs'!B55+'Model inputs'!C25+'Model inputs'!C107</f>
        <v>-600</v>
      </c>
      <c r="G99" s="8">
        <f>'Model inputs'!G103-'Model inputs'!G104-'Model inputs'!B53-'Model inputs'!B78-'Model inputs'!B55+'Model inputs'!C25+'Model inputs'!C107</f>
        <v>-600</v>
      </c>
      <c r="H99" s="8">
        <f>'Model inputs'!H103-'Model inputs'!H104-'Model inputs'!B53-'Model inputs'!B78-'Model inputs'!B55+'Model inputs'!C25+'Model inputs'!C107</f>
        <v>702.81</v>
      </c>
      <c r="I99" s="8">
        <f>'Model inputs'!I103-'Model inputs'!I104-'Model inputs'!B53-'Model inputs'!B78-'Model inputs'!B55+'Model inputs'!C25+'Model inputs'!C107</f>
        <v>702.81</v>
      </c>
      <c r="J99" s="8">
        <f>'Model inputs'!J103-'Model inputs'!J104-'Model inputs'!B53-'Model inputs'!B78-'Model inputs'!B55+'Model inputs'!C25+'Model inputs'!C107</f>
        <v>702.81</v>
      </c>
      <c r="K99" s="8">
        <f>'Model inputs'!K103-'Model inputs'!K104-'Model inputs'!B53-'Model inputs'!B78-'Model inputs'!B55+'Model inputs'!C25+'Model inputs'!C107</f>
        <v>702.81</v>
      </c>
      <c r="L99" s="8">
        <f>'Model inputs'!L103-'Model inputs'!L104-'Model inputs'!B53-'Model inputs'!B78-'Model inputs'!B55+'Model inputs'!C25+'Model inputs'!C107</f>
        <v>702.81</v>
      </c>
      <c r="M99" s="8">
        <f>'Model inputs'!M103-'Model inputs'!M104-'Model inputs'!B53-'Model inputs'!B78-'Model inputs'!B55+'Model inputs'!C25+'Model inputs'!C107</f>
        <v>702.81</v>
      </c>
      <c r="N99" s="8">
        <f>'Model inputs'!N103-'Model inputs'!N104-'Model inputs'!B53-'Model inputs'!B78-'Model inputs'!B55+'Model inputs'!C25+'Model inputs'!C107</f>
        <v>702.81</v>
      </c>
      <c r="O99" s="8">
        <f>'Model inputs'!O103-'Model inputs'!O104-'Model inputs'!B53-'Model inputs'!B78-'Model inputs'!B55+'Model inputs'!C25+'Model inputs'!C107</f>
        <v>702.81</v>
      </c>
      <c r="P99" s="8">
        <f>'Model inputs'!P103-'Model inputs'!P104-'Model inputs'!B53-'Model inputs'!B78-'Model inputs'!B55+'Model inputs'!C25+'Model inputs'!C107</f>
        <v>702.81</v>
      </c>
      <c r="Q99" s="8">
        <f>'Model inputs'!Q103-'Model inputs'!Q104-'Model inputs'!B53-'Model inputs'!B78-'Model inputs'!B55+'Model inputs'!C25+'Model inputs'!C107</f>
        <v>702.81</v>
      </c>
      <c r="R99" s="8">
        <f>'Model inputs'!R103-'Model inputs'!R104-'Model inputs'!B53-'Model inputs'!B78-'Model inputs'!B55+'Model inputs'!C25+'Model inputs'!C107</f>
        <v>702.81</v>
      </c>
      <c r="S99" s="8">
        <f>'Model inputs'!S103-'Model inputs'!S104-'Model inputs'!B53-'Model inputs'!B78-'Model inputs'!B55+'Model inputs'!C25+'Model inputs'!C107</f>
        <v>702.81</v>
      </c>
    </row>
    <row r="100">
      <c r="A100" t="inlineStr" s="21">
        <is>
          <t xml:space="preserve">TS Projected cash flow founder</t>
        </is>
      </c>
      <c r="D100" s="8">
        <v>0</v>
      </c>
      <c r="E100" s="8">
        <f>'Model inputs'!E99+'Model inputs'!B55-'Model inputs'!B59</f>
        <v>-3600</v>
      </c>
      <c r="F100" s="8">
        <f>'Model inputs'!F99+'Model inputs'!B55-'Model inputs'!B59</f>
        <v>-3600</v>
      </c>
      <c r="G100" s="8">
        <f>'Model inputs'!G99+'Model inputs'!B55-'Model inputs'!B59</f>
        <v>-3600</v>
      </c>
      <c r="H100" s="8">
        <f>'Model inputs'!H99+'Model inputs'!B55-'Model inputs'!B59</f>
        <v>-2297.19</v>
      </c>
      <c r="I100" s="8">
        <f>'Model inputs'!I99+'Model inputs'!B55-'Model inputs'!B59</f>
        <v>-2297.19</v>
      </c>
      <c r="J100" s="8">
        <f>'Model inputs'!J99+'Model inputs'!B55-'Model inputs'!B59</f>
        <v>-2297.19</v>
      </c>
      <c r="K100" s="8">
        <f>'Model inputs'!K99+'Model inputs'!B55-'Model inputs'!B59</f>
        <v>-2297.19</v>
      </c>
      <c r="L100" s="8">
        <f>'Model inputs'!L99+'Model inputs'!B55-'Model inputs'!B59</f>
        <v>-2297.19</v>
      </c>
      <c r="M100" s="8">
        <f>'Model inputs'!M99+'Model inputs'!B55-'Model inputs'!B59</f>
        <v>-2297.19</v>
      </c>
      <c r="N100" s="8">
        <f>'Model inputs'!N99+'Model inputs'!B55-'Model inputs'!B59</f>
        <v>-2297.19</v>
      </c>
      <c r="O100" s="8">
        <f>'Model inputs'!O99+'Model inputs'!B55-'Model inputs'!B59</f>
        <v>-2297.19</v>
      </c>
      <c r="P100" s="8">
        <f>'Model inputs'!P99+'Model inputs'!B55-'Model inputs'!B59</f>
        <v>-2297.19</v>
      </c>
      <c r="Q100" s="8">
        <f>'Model inputs'!Q99+'Model inputs'!B55-'Model inputs'!B59</f>
        <v>-2297.19</v>
      </c>
      <c r="R100" s="8">
        <f>'Model inputs'!R99+'Model inputs'!B55-'Model inputs'!B59</f>
        <v>-2297.19</v>
      </c>
      <c r="S100" s="8">
        <f>'Model inputs'!S99+'Model inputs'!B55-'Model inputs'!B59</f>
        <v>-2297.19</v>
      </c>
    </row>
    <row r="101">
      <c r="A101" t="inlineStr" s="21">
        <is>
          <t xml:space="preserve">TS Projected cash founder</t>
        </is>
      </c>
      <c r="D101" s="8">
        <v>0</v>
      </c>
      <c r="E101" s="8">
        <f>IF(IF(IF(IF(ISERROR(DATE(2026,10,1)=DATE(YEAR('Model inputs'!B105),MONTH('Model inputs'!B105),1)),DATE(2026,10,1)=DATE(YEAR('Model inputs'!B105),MONTH('Model inputs'!B105),1),IF(DATE(YEAR('Model inputs'!B105),MONTH('Model inputs'!B105),1)="","",DATE(2026,10,1)=DATE(YEAR('Model inputs'!B105),MONTH('Model inputs'!B105),1)))="",FALSE,IF(ISERROR(DATE(2026,10,1)=DATE(YEAR('Model inputs'!B105),MONTH('Model inputs'!B105),1)),DATE(2026,10,1)=DATE(YEAR('Model inputs'!B105),MONTH('Model inputs'!B105),1),IF(DATE(YEAR('Model inputs'!B105),MONTH('Model inputs'!B105),1)="","",DATE(2026,10,1)=DATE(YEAR('Model inputs'!B105),MONTH('Model inputs'!B105),1)))),IF('Model inputs'!B65="","",'Model inputs'!B65),IF('Model inputs'!D101="","",'Model inputs'!D101))="",0,IF(IF(IF(ISERROR(DATE(2026,10,1)=DATE(YEAR('Model inputs'!B105),MONTH('Model inputs'!B105),1)),DATE(2026,10,1)=DATE(YEAR('Model inputs'!B105),MONTH('Model inputs'!B105),1),IF(DATE(YEAR('Model inputs'!B105),MONTH('Model inputs'!B105),1)="","",DATE(2026,10,1)=DATE(YEAR('Model inputs'!B105),MONTH('Model inputs'!B105),1)))="",FALSE,IF(ISERROR(DATE(2026,10,1)=DATE(YEAR('Model inputs'!B105),MONTH('Model inputs'!B105),1)),DATE(2026,10,1)=DATE(YEAR('Model inputs'!B105),MONTH('Model inputs'!B105),1),IF(DATE(YEAR('Model inputs'!B105),MONTH('Model inputs'!B105),1)="","",DATE(2026,10,1)=DATE(YEAR('Model inputs'!B105),MONTH('Model inputs'!B105),1)))),IF('Model inputs'!B65="","",'Model inputs'!B65),IF('Model inputs'!D101="","",'Model inputs'!D101)))+'Model inputs'!E100</f>
        <v>-2600</v>
      </c>
      <c r="F101" s="8">
        <f>IF(IF(IF(IF(ISERROR(DATE(2026,11,1)=DATE(YEAR('Model inputs'!B105),MONTH('Model inputs'!B105),1)),DATE(2026,11,1)=DATE(YEAR('Model inputs'!B105),MONTH('Model inputs'!B105),1),IF(DATE(YEAR('Model inputs'!B105),MONTH('Model inputs'!B105),1)="","",DATE(2026,11,1)=DATE(YEAR('Model inputs'!B105),MONTH('Model inputs'!B105),1)))="",FALSE,IF(ISERROR(DATE(2026,11,1)=DATE(YEAR('Model inputs'!B105),MONTH('Model inputs'!B105),1)),DATE(2026,11,1)=DATE(YEAR('Model inputs'!B105),MONTH('Model inputs'!B105),1),IF(DATE(YEAR('Model inputs'!B105),MONTH('Model inputs'!B105),1)="","",DATE(2026,11,1)=DATE(YEAR('Model inputs'!B105),MONTH('Model inputs'!B105),1)))),IF('Model inputs'!B65="","",'Model inputs'!B65),IF('Model inputs'!E101="","",'Model inputs'!E101))="",0,IF(IF(IF(ISERROR(DATE(2026,11,1)=DATE(YEAR('Model inputs'!B105),MONTH('Model inputs'!B105),1)),DATE(2026,11,1)=DATE(YEAR('Model inputs'!B105),MONTH('Model inputs'!B105),1),IF(DATE(YEAR('Model inputs'!B105),MONTH('Model inputs'!B105),1)="","",DATE(2026,11,1)=DATE(YEAR('Model inputs'!B105),MONTH('Model inputs'!B105),1)))="",FALSE,IF(ISERROR(DATE(2026,11,1)=DATE(YEAR('Model inputs'!B105),MONTH('Model inputs'!B105),1)),DATE(2026,11,1)=DATE(YEAR('Model inputs'!B105),MONTH('Model inputs'!B105),1),IF(DATE(YEAR('Model inputs'!B105),MONTH('Model inputs'!B105),1)="","",DATE(2026,11,1)=DATE(YEAR('Model inputs'!B105),MONTH('Model inputs'!B105),1)))),IF('Model inputs'!B65="","",'Model inputs'!B65),IF('Model inputs'!E101="","",'Model inputs'!E101)))+'Model inputs'!F100</f>
        <v>-6200</v>
      </c>
      <c r="G101" s="8">
        <f>IF(IF(IF(IF(ISERROR(DATE(2026,12,1)=DATE(YEAR('Model inputs'!B105),MONTH('Model inputs'!B105),1)),DATE(2026,12,1)=DATE(YEAR('Model inputs'!B105),MONTH('Model inputs'!B105),1),IF(DATE(YEAR('Model inputs'!B105),MONTH('Model inputs'!B105),1)="","",DATE(2026,12,1)=DATE(YEAR('Model inputs'!B105),MONTH('Model inputs'!B105),1)))="",FALSE,IF(ISERROR(DATE(2026,12,1)=DATE(YEAR('Model inputs'!B105),MONTH('Model inputs'!B105),1)),DATE(2026,12,1)=DATE(YEAR('Model inputs'!B105),MONTH('Model inputs'!B105),1),IF(DATE(YEAR('Model inputs'!B105),MONTH('Model inputs'!B105),1)="","",DATE(2026,12,1)=DATE(YEAR('Model inputs'!B105),MONTH('Model inputs'!B105),1)))),IF('Model inputs'!B65="","",'Model inputs'!B65),IF('Model inputs'!F101="","",'Model inputs'!F101))="",0,IF(IF(IF(ISERROR(DATE(2026,12,1)=DATE(YEAR('Model inputs'!B105),MONTH('Model inputs'!B105),1)),DATE(2026,12,1)=DATE(YEAR('Model inputs'!B105),MONTH('Model inputs'!B105),1),IF(DATE(YEAR('Model inputs'!B105),MONTH('Model inputs'!B105),1)="","",DATE(2026,12,1)=DATE(YEAR('Model inputs'!B105),MONTH('Model inputs'!B105),1)))="",FALSE,IF(ISERROR(DATE(2026,12,1)=DATE(YEAR('Model inputs'!B105),MONTH('Model inputs'!B105),1)),DATE(2026,12,1)=DATE(YEAR('Model inputs'!B105),MONTH('Model inputs'!B105),1),IF(DATE(YEAR('Model inputs'!B105),MONTH('Model inputs'!B105),1)="","",DATE(2026,12,1)=DATE(YEAR('Model inputs'!B105),MONTH('Model inputs'!B105),1)))),IF('Model inputs'!B65="","",'Model inputs'!B65),IF('Model inputs'!F101="","",'Model inputs'!F101)))+'Model inputs'!G100</f>
        <v>-9800</v>
      </c>
      <c r="H101" s="8">
        <f>IF(IF(IF(IF(ISERROR(DATE(2027,1,1)=DATE(YEAR('Model inputs'!B105),MONTH('Model inputs'!B105),1)),DATE(2027,1,1)=DATE(YEAR('Model inputs'!B105),MONTH('Model inputs'!B105),1),IF(DATE(YEAR('Model inputs'!B105),MONTH('Model inputs'!B105),1)="","",DATE(2027,1,1)=DATE(YEAR('Model inputs'!B105),MONTH('Model inputs'!B105),1)))="",FALSE,IF(ISERROR(DATE(2027,1,1)=DATE(YEAR('Model inputs'!B105),MONTH('Model inputs'!B105),1)),DATE(2027,1,1)=DATE(YEAR('Model inputs'!B105),MONTH('Model inputs'!B105),1),IF(DATE(YEAR('Model inputs'!B105),MONTH('Model inputs'!B105),1)="","",DATE(2027,1,1)=DATE(YEAR('Model inputs'!B105),MONTH('Model inputs'!B105),1)))),IF('Model inputs'!B65="","",'Model inputs'!B65),IF('Model inputs'!G101="","",'Model inputs'!G101))="",0,IF(IF(IF(ISERROR(DATE(2027,1,1)=DATE(YEAR('Model inputs'!B105),MONTH('Model inputs'!B105),1)),DATE(2027,1,1)=DATE(YEAR('Model inputs'!B105),MONTH('Model inputs'!B105),1),IF(DATE(YEAR('Model inputs'!B105),MONTH('Model inputs'!B105),1)="","",DATE(2027,1,1)=DATE(YEAR('Model inputs'!B105),MONTH('Model inputs'!B105),1)))="",FALSE,IF(ISERROR(DATE(2027,1,1)=DATE(YEAR('Model inputs'!B105),MONTH('Model inputs'!B105),1)),DATE(2027,1,1)=DATE(YEAR('Model inputs'!B105),MONTH('Model inputs'!B105),1),IF(DATE(YEAR('Model inputs'!B105),MONTH('Model inputs'!B105),1)="","",DATE(2027,1,1)=DATE(YEAR('Model inputs'!B105),MONTH('Model inputs'!B105),1)))),IF('Model inputs'!B65="","",'Model inputs'!B65),IF('Model inputs'!G101="","",'Model inputs'!G101)))+'Model inputs'!H100</f>
        <v>-12097.19</v>
      </c>
      <c r="I101" s="8">
        <f>IF(IF(IF(IF(ISERROR(DATE(2027,2,1)=DATE(YEAR('Model inputs'!B105),MONTH('Model inputs'!B105),1)),DATE(2027,2,1)=DATE(YEAR('Model inputs'!B105),MONTH('Model inputs'!B105),1),IF(DATE(YEAR('Model inputs'!B105),MONTH('Model inputs'!B105),1)="","",DATE(2027,2,1)=DATE(YEAR('Model inputs'!B105),MONTH('Model inputs'!B105),1)))="",FALSE,IF(ISERROR(DATE(2027,2,1)=DATE(YEAR('Model inputs'!B105),MONTH('Model inputs'!B105),1)),DATE(2027,2,1)=DATE(YEAR('Model inputs'!B105),MONTH('Model inputs'!B105),1),IF(DATE(YEAR('Model inputs'!B105),MONTH('Model inputs'!B105),1)="","",DATE(2027,2,1)=DATE(YEAR('Model inputs'!B105),MONTH('Model inputs'!B105),1)))),IF('Model inputs'!B65="","",'Model inputs'!B65),IF('Model inputs'!H101="","",'Model inputs'!H101))="",0,IF(IF(IF(ISERROR(DATE(2027,2,1)=DATE(YEAR('Model inputs'!B105),MONTH('Model inputs'!B105),1)),DATE(2027,2,1)=DATE(YEAR('Model inputs'!B105),MONTH('Model inputs'!B105),1),IF(DATE(YEAR('Model inputs'!B105),MONTH('Model inputs'!B105),1)="","",DATE(2027,2,1)=DATE(YEAR('Model inputs'!B105),MONTH('Model inputs'!B105),1)))="",FALSE,IF(ISERROR(DATE(2027,2,1)=DATE(YEAR('Model inputs'!B105),MONTH('Model inputs'!B105),1)),DATE(2027,2,1)=DATE(YEAR('Model inputs'!B105),MONTH('Model inputs'!B105),1),IF(DATE(YEAR('Model inputs'!B105),MONTH('Model inputs'!B105),1)="","",DATE(2027,2,1)=DATE(YEAR('Model inputs'!B105),MONTH('Model inputs'!B105),1)))),IF('Model inputs'!B65="","",'Model inputs'!B65),IF('Model inputs'!H101="","",'Model inputs'!H101)))+'Model inputs'!I100</f>
        <v>-14394.380000000001</v>
      </c>
      <c r="J101" s="8">
        <f>IF(IF(IF(IF(ISERROR(DATE(2027,3,1)=DATE(YEAR('Model inputs'!B105),MONTH('Model inputs'!B105),1)),DATE(2027,3,1)=DATE(YEAR('Model inputs'!B105),MONTH('Model inputs'!B105),1),IF(DATE(YEAR('Model inputs'!B105),MONTH('Model inputs'!B105),1)="","",DATE(2027,3,1)=DATE(YEAR('Model inputs'!B105),MONTH('Model inputs'!B105),1)))="",FALSE,IF(ISERROR(DATE(2027,3,1)=DATE(YEAR('Model inputs'!B105),MONTH('Model inputs'!B105),1)),DATE(2027,3,1)=DATE(YEAR('Model inputs'!B105),MONTH('Model inputs'!B105),1),IF(DATE(YEAR('Model inputs'!B105),MONTH('Model inputs'!B105),1)="","",DATE(2027,3,1)=DATE(YEAR('Model inputs'!B105),MONTH('Model inputs'!B105),1)))),IF('Model inputs'!B65="","",'Model inputs'!B65),IF('Model inputs'!I101="","",'Model inputs'!I101))="",0,IF(IF(IF(ISERROR(DATE(2027,3,1)=DATE(YEAR('Model inputs'!B105),MONTH('Model inputs'!B105),1)),DATE(2027,3,1)=DATE(YEAR('Model inputs'!B105),MONTH('Model inputs'!B105),1),IF(DATE(YEAR('Model inputs'!B105),MONTH('Model inputs'!B105),1)="","",DATE(2027,3,1)=DATE(YEAR('Model inputs'!B105),MONTH('Model inputs'!B105),1)))="",FALSE,IF(ISERROR(DATE(2027,3,1)=DATE(YEAR('Model inputs'!B105),MONTH('Model inputs'!B105),1)),DATE(2027,3,1)=DATE(YEAR('Model inputs'!B105),MONTH('Model inputs'!B105),1),IF(DATE(YEAR('Model inputs'!B105),MONTH('Model inputs'!B105),1)="","",DATE(2027,3,1)=DATE(YEAR('Model inputs'!B105),MONTH('Model inputs'!B105),1)))),IF('Model inputs'!B65="","",'Model inputs'!B65),IF('Model inputs'!I101="","",'Model inputs'!I101)))+'Model inputs'!J100</f>
        <v>-16691.57</v>
      </c>
      <c r="K101" s="8">
        <f>IF(IF(IF(IF(ISERROR(DATE(2027,4,1)=DATE(YEAR('Model inputs'!B105),MONTH('Model inputs'!B105),1)),DATE(2027,4,1)=DATE(YEAR('Model inputs'!B105),MONTH('Model inputs'!B105),1),IF(DATE(YEAR('Model inputs'!B105),MONTH('Model inputs'!B105),1)="","",DATE(2027,4,1)=DATE(YEAR('Model inputs'!B105),MONTH('Model inputs'!B105),1)))="",FALSE,IF(ISERROR(DATE(2027,4,1)=DATE(YEAR('Model inputs'!B105),MONTH('Model inputs'!B105),1)),DATE(2027,4,1)=DATE(YEAR('Model inputs'!B105),MONTH('Model inputs'!B105),1),IF(DATE(YEAR('Model inputs'!B105),MONTH('Model inputs'!B105),1)="","",DATE(2027,4,1)=DATE(YEAR('Model inputs'!B105),MONTH('Model inputs'!B105),1)))),IF('Model inputs'!B65="","",'Model inputs'!B65),IF('Model inputs'!J101="","",'Model inputs'!J101))="",0,IF(IF(IF(ISERROR(DATE(2027,4,1)=DATE(YEAR('Model inputs'!B105),MONTH('Model inputs'!B105),1)),DATE(2027,4,1)=DATE(YEAR('Model inputs'!B105),MONTH('Model inputs'!B105),1),IF(DATE(YEAR('Model inputs'!B105),MONTH('Model inputs'!B105),1)="","",DATE(2027,4,1)=DATE(YEAR('Model inputs'!B105),MONTH('Model inputs'!B105),1)))="",FALSE,IF(ISERROR(DATE(2027,4,1)=DATE(YEAR('Model inputs'!B105),MONTH('Model inputs'!B105),1)),DATE(2027,4,1)=DATE(YEAR('Model inputs'!B105),MONTH('Model inputs'!B105),1),IF(DATE(YEAR('Model inputs'!B105),MONTH('Model inputs'!B105),1)="","",DATE(2027,4,1)=DATE(YEAR('Model inputs'!B105),MONTH('Model inputs'!B105),1)))),IF('Model inputs'!B65="","",'Model inputs'!B65),IF('Model inputs'!J101="","",'Model inputs'!J101)))+'Model inputs'!K100</f>
        <v>-18988.76</v>
      </c>
      <c r="L101" s="8">
        <f>IF(IF(IF(IF(ISERROR(DATE(2027,5,1)=DATE(YEAR('Model inputs'!B105),MONTH('Model inputs'!B105),1)),DATE(2027,5,1)=DATE(YEAR('Model inputs'!B105),MONTH('Model inputs'!B105),1),IF(DATE(YEAR('Model inputs'!B105),MONTH('Model inputs'!B105),1)="","",DATE(2027,5,1)=DATE(YEAR('Model inputs'!B105),MONTH('Model inputs'!B105),1)))="",FALSE,IF(ISERROR(DATE(2027,5,1)=DATE(YEAR('Model inputs'!B105),MONTH('Model inputs'!B105),1)),DATE(2027,5,1)=DATE(YEAR('Model inputs'!B105),MONTH('Model inputs'!B105),1),IF(DATE(YEAR('Model inputs'!B105),MONTH('Model inputs'!B105),1)="","",DATE(2027,5,1)=DATE(YEAR('Model inputs'!B105),MONTH('Model inputs'!B105),1)))),IF('Model inputs'!B65="","",'Model inputs'!B65),IF('Model inputs'!K101="","",'Model inputs'!K101))="",0,IF(IF(IF(ISERROR(DATE(2027,5,1)=DATE(YEAR('Model inputs'!B105),MONTH('Model inputs'!B105),1)),DATE(2027,5,1)=DATE(YEAR('Model inputs'!B105),MONTH('Model inputs'!B105),1),IF(DATE(YEAR('Model inputs'!B105),MONTH('Model inputs'!B105),1)="","",DATE(2027,5,1)=DATE(YEAR('Model inputs'!B105),MONTH('Model inputs'!B105),1)))="",FALSE,IF(ISERROR(DATE(2027,5,1)=DATE(YEAR('Model inputs'!B105),MONTH('Model inputs'!B105),1)),DATE(2027,5,1)=DATE(YEAR('Model inputs'!B105),MONTH('Model inputs'!B105),1),IF(DATE(YEAR('Model inputs'!B105),MONTH('Model inputs'!B105),1)="","",DATE(2027,5,1)=DATE(YEAR('Model inputs'!B105),MONTH('Model inputs'!B105),1)))),IF('Model inputs'!B65="","",'Model inputs'!B65),IF('Model inputs'!K101="","",'Model inputs'!K101)))+'Model inputs'!L100</f>
        <v>-21285.949999999997</v>
      </c>
      <c r="M101" s="8">
        <f>IF(IF(IF(IF(ISERROR(DATE(2027,6,1)=DATE(YEAR('Model inputs'!B105),MONTH('Model inputs'!B105),1)),DATE(2027,6,1)=DATE(YEAR('Model inputs'!B105),MONTH('Model inputs'!B105),1),IF(DATE(YEAR('Model inputs'!B105),MONTH('Model inputs'!B105),1)="","",DATE(2027,6,1)=DATE(YEAR('Model inputs'!B105),MONTH('Model inputs'!B105),1)))="",FALSE,IF(ISERROR(DATE(2027,6,1)=DATE(YEAR('Model inputs'!B105),MONTH('Model inputs'!B105),1)),DATE(2027,6,1)=DATE(YEAR('Model inputs'!B105),MONTH('Model inputs'!B105),1),IF(DATE(YEAR('Model inputs'!B105),MONTH('Model inputs'!B105),1)="","",DATE(2027,6,1)=DATE(YEAR('Model inputs'!B105),MONTH('Model inputs'!B105),1)))),IF('Model inputs'!B65="","",'Model inputs'!B65),IF('Model inputs'!L101="","",'Model inputs'!L101))="",0,IF(IF(IF(ISERROR(DATE(2027,6,1)=DATE(YEAR('Model inputs'!B105),MONTH('Model inputs'!B105),1)),DATE(2027,6,1)=DATE(YEAR('Model inputs'!B105),MONTH('Model inputs'!B105),1),IF(DATE(YEAR('Model inputs'!B105),MONTH('Model inputs'!B105),1)="","",DATE(2027,6,1)=DATE(YEAR('Model inputs'!B105),MONTH('Model inputs'!B105),1)))="",FALSE,IF(ISERROR(DATE(2027,6,1)=DATE(YEAR('Model inputs'!B105),MONTH('Model inputs'!B105),1)),DATE(2027,6,1)=DATE(YEAR('Model inputs'!B105),MONTH('Model inputs'!B105),1),IF(DATE(YEAR('Model inputs'!B105),MONTH('Model inputs'!B105),1)="","",DATE(2027,6,1)=DATE(YEAR('Model inputs'!B105),MONTH('Model inputs'!B105),1)))),IF('Model inputs'!B65="","",'Model inputs'!B65),IF('Model inputs'!L101="","",'Model inputs'!L101)))+'Model inputs'!M100</f>
        <v>-23583.139999999996</v>
      </c>
      <c r="N101" s="8">
        <f>IF(IF(IF(IF(ISERROR(DATE(2027,7,1)=DATE(YEAR('Model inputs'!B105),MONTH('Model inputs'!B105),1)),DATE(2027,7,1)=DATE(YEAR('Model inputs'!B105),MONTH('Model inputs'!B105),1),IF(DATE(YEAR('Model inputs'!B105),MONTH('Model inputs'!B105),1)="","",DATE(2027,7,1)=DATE(YEAR('Model inputs'!B105),MONTH('Model inputs'!B105),1)))="",FALSE,IF(ISERROR(DATE(2027,7,1)=DATE(YEAR('Model inputs'!B105),MONTH('Model inputs'!B105),1)),DATE(2027,7,1)=DATE(YEAR('Model inputs'!B105),MONTH('Model inputs'!B105),1),IF(DATE(YEAR('Model inputs'!B105),MONTH('Model inputs'!B105),1)="","",DATE(2027,7,1)=DATE(YEAR('Model inputs'!B105),MONTH('Model inputs'!B105),1)))),IF('Model inputs'!B65="","",'Model inputs'!B65),IF('Model inputs'!M101="","",'Model inputs'!M101))="",0,IF(IF(IF(ISERROR(DATE(2027,7,1)=DATE(YEAR('Model inputs'!B105),MONTH('Model inputs'!B105),1)),DATE(2027,7,1)=DATE(YEAR('Model inputs'!B105),MONTH('Model inputs'!B105),1),IF(DATE(YEAR('Model inputs'!B105),MONTH('Model inputs'!B105),1)="","",DATE(2027,7,1)=DATE(YEAR('Model inputs'!B105),MONTH('Model inputs'!B105),1)))="",FALSE,IF(ISERROR(DATE(2027,7,1)=DATE(YEAR('Model inputs'!B105),MONTH('Model inputs'!B105),1)),DATE(2027,7,1)=DATE(YEAR('Model inputs'!B105),MONTH('Model inputs'!B105),1),IF(DATE(YEAR('Model inputs'!B105),MONTH('Model inputs'!B105),1)="","",DATE(2027,7,1)=DATE(YEAR('Model inputs'!B105),MONTH('Model inputs'!B105),1)))),IF('Model inputs'!B65="","",'Model inputs'!B65),IF('Model inputs'!M101="","",'Model inputs'!M101)))+'Model inputs'!N100</f>
        <v>-25880.329999999994</v>
      </c>
      <c r="O101" s="8">
        <f>IF(IF(IF(IF(ISERROR(DATE(2027,8,1)=DATE(YEAR('Model inputs'!B105),MONTH('Model inputs'!B105),1)),DATE(2027,8,1)=DATE(YEAR('Model inputs'!B105),MONTH('Model inputs'!B105),1),IF(DATE(YEAR('Model inputs'!B105),MONTH('Model inputs'!B105),1)="","",DATE(2027,8,1)=DATE(YEAR('Model inputs'!B105),MONTH('Model inputs'!B105),1)))="",FALSE,IF(ISERROR(DATE(2027,8,1)=DATE(YEAR('Model inputs'!B105),MONTH('Model inputs'!B105),1)),DATE(2027,8,1)=DATE(YEAR('Model inputs'!B105),MONTH('Model inputs'!B105),1),IF(DATE(YEAR('Model inputs'!B105),MONTH('Model inputs'!B105),1)="","",DATE(2027,8,1)=DATE(YEAR('Model inputs'!B105),MONTH('Model inputs'!B105),1)))),IF('Model inputs'!B65="","",'Model inputs'!B65),IF('Model inputs'!N101="","",'Model inputs'!N101))="",0,IF(IF(IF(ISERROR(DATE(2027,8,1)=DATE(YEAR('Model inputs'!B105),MONTH('Model inputs'!B105),1)),DATE(2027,8,1)=DATE(YEAR('Model inputs'!B105),MONTH('Model inputs'!B105),1),IF(DATE(YEAR('Model inputs'!B105),MONTH('Model inputs'!B105),1)="","",DATE(2027,8,1)=DATE(YEAR('Model inputs'!B105),MONTH('Model inputs'!B105),1)))="",FALSE,IF(ISERROR(DATE(2027,8,1)=DATE(YEAR('Model inputs'!B105),MONTH('Model inputs'!B105),1)),DATE(2027,8,1)=DATE(YEAR('Model inputs'!B105),MONTH('Model inputs'!B105),1),IF(DATE(YEAR('Model inputs'!B105),MONTH('Model inputs'!B105),1)="","",DATE(2027,8,1)=DATE(YEAR('Model inputs'!B105),MONTH('Model inputs'!B105),1)))),IF('Model inputs'!B65="","",'Model inputs'!B65),IF('Model inputs'!N101="","",'Model inputs'!N101)))+'Model inputs'!O100</f>
        <v>-28177.519999999993</v>
      </c>
      <c r="P101" s="8">
        <f>IF(IF(IF(IF(ISERROR(DATE(2027,9,1)=DATE(YEAR('Model inputs'!B105),MONTH('Model inputs'!B105),1)),DATE(2027,9,1)=DATE(YEAR('Model inputs'!B105),MONTH('Model inputs'!B105),1),IF(DATE(YEAR('Model inputs'!B105),MONTH('Model inputs'!B105),1)="","",DATE(2027,9,1)=DATE(YEAR('Model inputs'!B105),MONTH('Model inputs'!B105),1)))="",FALSE,IF(ISERROR(DATE(2027,9,1)=DATE(YEAR('Model inputs'!B105),MONTH('Model inputs'!B105),1)),DATE(2027,9,1)=DATE(YEAR('Model inputs'!B105),MONTH('Model inputs'!B105),1),IF(DATE(YEAR('Model inputs'!B105),MONTH('Model inputs'!B105),1)="","",DATE(2027,9,1)=DATE(YEAR('Model inputs'!B105),MONTH('Model inputs'!B105),1)))),IF('Model inputs'!B65="","",'Model inputs'!B65),IF('Model inputs'!O101="","",'Model inputs'!O101))="",0,IF(IF(IF(ISERROR(DATE(2027,9,1)=DATE(YEAR('Model inputs'!B105),MONTH('Model inputs'!B105),1)),DATE(2027,9,1)=DATE(YEAR('Model inputs'!B105),MONTH('Model inputs'!B105),1),IF(DATE(YEAR('Model inputs'!B105),MONTH('Model inputs'!B105),1)="","",DATE(2027,9,1)=DATE(YEAR('Model inputs'!B105),MONTH('Model inputs'!B105),1)))="",FALSE,IF(ISERROR(DATE(2027,9,1)=DATE(YEAR('Model inputs'!B105),MONTH('Model inputs'!B105),1)),DATE(2027,9,1)=DATE(YEAR('Model inputs'!B105),MONTH('Model inputs'!B105),1),IF(DATE(YEAR('Model inputs'!B105),MONTH('Model inputs'!B105),1)="","",DATE(2027,9,1)=DATE(YEAR('Model inputs'!B105),MONTH('Model inputs'!B105),1)))),IF('Model inputs'!B65="","",'Model inputs'!B65),IF('Model inputs'!O101="","",'Model inputs'!O101)))+'Model inputs'!P100</f>
        <v>-30474.709999999992</v>
      </c>
      <c r="Q101" s="8">
        <f>IF(IF(IF(IF(ISERROR(DATE(2027,10,1)=DATE(YEAR('Model inputs'!B105),MONTH('Model inputs'!B105),1)),DATE(2027,10,1)=DATE(YEAR('Model inputs'!B105),MONTH('Model inputs'!B105),1),IF(DATE(YEAR('Model inputs'!B105),MONTH('Model inputs'!B105),1)="","",DATE(2027,10,1)=DATE(YEAR('Model inputs'!B105),MONTH('Model inputs'!B105),1)))="",FALSE,IF(ISERROR(DATE(2027,10,1)=DATE(YEAR('Model inputs'!B105),MONTH('Model inputs'!B105),1)),DATE(2027,10,1)=DATE(YEAR('Model inputs'!B105),MONTH('Model inputs'!B105),1),IF(DATE(YEAR('Model inputs'!B105),MONTH('Model inputs'!B105),1)="","",DATE(2027,10,1)=DATE(YEAR('Model inputs'!B105),MONTH('Model inputs'!B105),1)))),IF('Model inputs'!B65="","",'Model inputs'!B65),IF('Model inputs'!P101="","",'Model inputs'!P101))="",0,IF(IF(IF(ISERROR(DATE(2027,10,1)=DATE(YEAR('Model inputs'!B105),MONTH('Model inputs'!B105),1)),DATE(2027,10,1)=DATE(YEAR('Model inputs'!B105),MONTH('Model inputs'!B105),1),IF(DATE(YEAR('Model inputs'!B105),MONTH('Model inputs'!B105),1)="","",DATE(2027,10,1)=DATE(YEAR('Model inputs'!B105),MONTH('Model inputs'!B105),1)))="",FALSE,IF(ISERROR(DATE(2027,10,1)=DATE(YEAR('Model inputs'!B105),MONTH('Model inputs'!B105),1)),DATE(2027,10,1)=DATE(YEAR('Model inputs'!B105),MONTH('Model inputs'!B105),1),IF(DATE(YEAR('Model inputs'!B105),MONTH('Model inputs'!B105),1)="","",DATE(2027,10,1)=DATE(YEAR('Model inputs'!B105),MONTH('Model inputs'!B105),1)))),IF('Model inputs'!B65="","",'Model inputs'!B65),IF('Model inputs'!P101="","",'Model inputs'!P101)))+'Model inputs'!Q100</f>
        <v>-32771.899999999994</v>
      </c>
      <c r="R101" s="8">
        <f>IF(IF(IF(IF(ISERROR(DATE(2027,11,1)=DATE(YEAR('Model inputs'!B105),MONTH('Model inputs'!B105),1)),DATE(2027,11,1)=DATE(YEAR('Model inputs'!B105),MONTH('Model inputs'!B105),1),IF(DATE(YEAR('Model inputs'!B105),MONTH('Model inputs'!B105),1)="","",DATE(2027,11,1)=DATE(YEAR('Model inputs'!B105),MONTH('Model inputs'!B105),1)))="",FALSE,IF(ISERROR(DATE(2027,11,1)=DATE(YEAR('Model inputs'!B105),MONTH('Model inputs'!B105),1)),DATE(2027,11,1)=DATE(YEAR('Model inputs'!B105),MONTH('Model inputs'!B105),1),IF(DATE(YEAR('Model inputs'!B105),MONTH('Model inputs'!B105),1)="","",DATE(2027,11,1)=DATE(YEAR('Model inputs'!B105),MONTH('Model inputs'!B105),1)))),IF('Model inputs'!B65="","",'Model inputs'!B65),IF('Model inputs'!Q101="","",'Model inputs'!Q101))="",0,IF(IF(IF(ISERROR(DATE(2027,11,1)=DATE(YEAR('Model inputs'!B105),MONTH('Model inputs'!B105),1)),DATE(2027,11,1)=DATE(YEAR('Model inputs'!B105),MONTH('Model inputs'!B105),1),IF(DATE(YEAR('Model inputs'!B105),MONTH('Model inputs'!B105),1)="","",DATE(2027,11,1)=DATE(YEAR('Model inputs'!B105),MONTH('Model inputs'!B105),1)))="",FALSE,IF(ISERROR(DATE(2027,11,1)=DATE(YEAR('Model inputs'!B105),MONTH('Model inputs'!B105),1)),DATE(2027,11,1)=DATE(YEAR('Model inputs'!B105),MONTH('Model inputs'!B105),1),IF(DATE(YEAR('Model inputs'!B105),MONTH('Model inputs'!B105),1)="","",DATE(2027,11,1)=DATE(YEAR('Model inputs'!B105),MONTH('Model inputs'!B105),1)))),IF('Model inputs'!B65="","",'Model inputs'!B65),IF('Model inputs'!Q101="","",'Model inputs'!Q101)))+'Model inputs'!R100</f>
        <v>-35069.09</v>
      </c>
      <c r="S101" s="8">
        <f>IF(IF(IF(IF(ISERROR(DATE(2027,12,1)=DATE(YEAR('Model inputs'!B105),MONTH('Model inputs'!B105),1)),DATE(2027,12,1)=DATE(YEAR('Model inputs'!B105),MONTH('Model inputs'!B105),1),IF(DATE(YEAR('Model inputs'!B105),MONTH('Model inputs'!B105),1)="","",DATE(2027,12,1)=DATE(YEAR('Model inputs'!B105),MONTH('Model inputs'!B105),1)))="",FALSE,IF(ISERROR(DATE(2027,12,1)=DATE(YEAR('Model inputs'!B105),MONTH('Model inputs'!B105),1)),DATE(2027,12,1)=DATE(YEAR('Model inputs'!B105),MONTH('Model inputs'!B105),1),IF(DATE(YEAR('Model inputs'!B105),MONTH('Model inputs'!B105),1)="","",DATE(2027,12,1)=DATE(YEAR('Model inputs'!B105),MONTH('Model inputs'!B105),1)))),IF('Model inputs'!B65="","",'Model inputs'!B65),IF('Model inputs'!R101="","",'Model inputs'!R101))="",0,IF(IF(IF(ISERROR(DATE(2027,12,1)=DATE(YEAR('Model inputs'!B105),MONTH('Model inputs'!B105),1)),DATE(2027,12,1)=DATE(YEAR('Model inputs'!B105),MONTH('Model inputs'!B105),1),IF(DATE(YEAR('Model inputs'!B105),MONTH('Model inputs'!B105),1)="","",DATE(2027,12,1)=DATE(YEAR('Model inputs'!B105),MONTH('Model inputs'!B105),1)))="",FALSE,IF(ISERROR(DATE(2027,12,1)=DATE(YEAR('Model inputs'!B105),MONTH('Model inputs'!B105),1)),DATE(2027,12,1)=DATE(YEAR('Model inputs'!B105),MONTH('Model inputs'!B105),1),IF(DATE(YEAR('Model inputs'!B105),MONTH('Model inputs'!B105),1)="","",DATE(2027,12,1)=DATE(YEAR('Model inputs'!B105),MONTH('Model inputs'!B105),1)))),IF('Model inputs'!B65="","",'Model inputs'!B65),IF('Model inputs'!R101="","",'Model inputs'!R101)))+'Model inputs'!S100</f>
        <v>-37366.28</v>
      </c>
    </row>
    <row r="102">
      <c r="A102" t="inlineStr" s="21">
        <is>
          <t xml:space="preserve">TS Projected digital orders</t>
        </is>
      </c>
      <c r="D102" s="8">
        <v>0</v>
      </c>
      <c r="E102" s="8">
        <f>IF(IF(IF(ISERROR(DATE(2026,10,1)&gt;=DATE(YEAR('Model inputs'!B63),MONTH('Model inputs'!B63),1)),DATE(2026,10,1)&gt;=DATE(YEAR('Model inputs'!B63),MONTH('Model inputs'!B63),1),IF(DATE(YEAR('Model inputs'!B63),MONTH('Model inputs'!B63),1)="","",DATE(2026,10,1)&gt;=DATE(YEAR('Model inputs'!B63),MONTH('Model inputs'!B63),1)))="",FALSE,IF(ISERROR(DATE(2026,10,1)&gt;=DATE(YEAR('Model inputs'!B63),MONTH('Model inputs'!B63),1)),DATE(2026,10,1)&gt;=DATE(YEAR('Model inputs'!B63),MONTH('Model inputs'!B63),1),IF(DATE(YEAR('Model inputs'!B63),MONTH('Model inputs'!B63),1)="","",DATE(2026,10,1)&gt;=DATE(YEAR('Model inputs'!B63),MONTH('Model inputs'!B63),1)))),IF('Model inputs'!B19="","",'Model inputs'!B19),0)</f>
        <v>0</v>
      </c>
      <c r="F102" s="8">
        <f>IF(IF(IF(ISERROR(DATE(2026,11,1)&gt;=DATE(YEAR('Model inputs'!B63),MONTH('Model inputs'!B63),1)),DATE(2026,11,1)&gt;=DATE(YEAR('Model inputs'!B63),MONTH('Model inputs'!B63),1),IF(DATE(YEAR('Model inputs'!B63),MONTH('Model inputs'!B63),1)="","",DATE(2026,11,1)&gt;=DATE(YEAR('Model inputs'!B63),MONTH('Model inputs'!B63),1)))="",FALSE,IF(ISERROR(DATE(2026,11,1)&gt;=DATE(YEAR('Model inputs'!B63),MONTH('Model inputs'!B63),1)),DATE(2026,11,1)&gt;=DATE(YEAR('Model inputs'!B63),MONTH('Model inputs'!B63),1),IF(DATE(YEAR('Model inputs'!B63),MONTH('Model inputs'!B63),1)="","",DATE(2026,11,1)&gt;=DATE(YEAR('Model inputs'!B63),MONTH('Model inputs'!B63),1)))),IF('Model inputs'!B19="","",'Model inputs'!B19),0)</f>
        <v>0</v>
      </c>
      <c r="G102" s="8">
        <f>IF(IF(IF(ISERROR(DATE(2026,12,1)&gt;=DATE(YEAR('Model inputs'!B63),MONTH('Model inputs'!B63),1)),DATE(2026,12,1)&gt;=DATE(YEAR('Model inputs'!B63),MONTH('Model inputs'!B63),1),IF(DATE(YEAR('Model inputs'!B63),MONTH('Model inputs'!B63),1)="","",DATE(2026,12,1)&gt;=DATE(YEAR('Model inputs'!B63),MONTH('Model inputs'!B63),1)))="",FALSE,IF(ISERROR(DATE(2026,12,1)&gt;=DATE(YEAR('Model inputs'!B63),MONTH('Model inputs'!B63),1)),DATE(2026,12,1)&gt;=DATE(YEAR('Model inputs'!B63),MONTH('Model inputs'!B63),1),IF(DATE(YEAR('Model inputs'!B63),MONTH('Model inputs'!B63),1)="","",DATE(2026,12,1)&gt;=DATE(YEAR('Model inputs'!B63),MONTH('Model inputs'!B63),1)))),IF('Model inputs'!B19="","",'Model inputs'!B19),0)</f>
        <v>0</v>
      </c>
      <c r="H102" s="8">
        <f>IF(IF(IF(ISERROR(DATE(2027,1,1)&gt;=DATE(YEAR('Model inputs'!B63),MONTH('Model inputs'!B63),1)),DATE(2027,1,1)&gt;=DATE(YEAR('Model inputs'!B63),MONTH('Model inputs'!B63),1),IF(DATE(YEAR('Model inputs'!B63),MONTH('Model inputs'!B63),1)="","",DATE(2027,1,1)&gt;=DATE(YEAR('Model inputs'!B63),MONTH('Model inputs'!B63),1)))="",FALSE,IF(ISERROR(DATE(2027,1,1)&gt;=DATE(YEAR('Model inputs'!B63),MONTH('Model inputs'!B63),1)),DATE(2027,1,1)&gt;=DATE(YEAR('Model inputs'!B63),MONTH('Model inputs'!B63),1),IF(DATE(YEAR('Model inputs'!B63),MONTH('Model inputs'!B63),1)="","",DATE(2027,1,1)&gt;=DATE(YEAR('Model inputs'!B63),MONTH('Model inputs'!B63),1)))),IF('Model inputs'!B19="","",'Model inputs'!B19),0)</f>
        <v>200</v>
      </c>
      <c r="I102" s="8">
        <f>IF(IF(IF(ISERROR(DATE(2027,2,1)&gt;=DATE(YEAR('Model inputs'!B63),MONTH('Model inputs'!B63),1)),DATE(2027,2,1)&gt;=DATE(YEAR('Model inputs'!B63),MONTH('Model inputs'!B63),1),IF(DATE(YEAR('Model inputs'!B63),MONTH('Model inputs'!B63),1)="","",DATE(2027,2,1)&gt;=DATE(YEAR('Model inputs'!B63),MONTH('Model inputs'!B63),1)))="",FALSE,IF(ISERROR(DATE(2027,2,1)&gt;=DATE(YEAR('Model inputs'!B63),MONTH('Model inputs'!B63),1)),DATE(2027,2,1)&gt;=DATE(YEAR('Model inputs'!B63),MONTH('Model inputs'!B63),1),IF(DATE(YEAR('Model inputs'!B63),MONTH('Model inputs'!B63),1)="","",DATE(2027,2,1)&gt;=DATE(YEAR('Model inputs'!B63),MONTH('Model inputs'!B63),1)))),IF('Model inputs'!B19="","",'Model inputs'!B19),0)</f>
        <v>200</v>
      </c>
      <c r="J102" s="8">
        <f>IF(IF(IF(ISERROR(DATE(2027,3,1)&gt;=DATE(YEAR('Model inputs'!B63),MONTH('Model inputs'!B63),1)),DATE(2027,3,1)&gt;=DATE(YEAR('Model inputs'!B63),MONTH('Model inputs'!B63),1),IF(DATE(YEAR('Model inputs'!B63),MONTH('Model inputs'!B63),1)="","",DATE(2027,3,1)&gt;=DATE(YEAR('Model inputs'!B63),MONTH('Model inputs'!B63),1)))="",FALSE,IF(ISERROR(DATE(2027,3,1)&gt;=DATE(YEAR('Model inputs'!B63),MONTH('Model inputs'!B63),1)),DATE(2027,3,1)&gt;=DATE(YEAR('Model inputs'!B63),MONTH('Model inputs'!B63),1),IF(DATE(YEAR('Model inputs'!B63),MONTH('Model inputs'!B63),1)="","",DATE(2027,3,1)&gt;=DATE(YEAR('Model inputs'!B63),MONTH('Model inputs'!B63),1)))),IF('Model inputs'!B19="","",'Model inputs'!B19),0)</f>
        <v>200</v>
      </c>
      <c r="K102" s="8">
        <f>IF(IF(IF(ISERROR(DATE(2027,4,1)&gt;=DATE(YEAR('Model inputs'!B63),MONTH('Model inputs'!B63),1)),DATE(2027,4,1)&gt;=DATE(YEAR('Model inputs'!B63),MONTH('Model inputs'!B63),1),IF(DATE(YEAR('Model inputs'!B63),MONTH('Model inputs'!B63),1)="","",DATE(2027,4,1)&gt;=DATE(YEAR('Model inputs'!B63),MONTH('Model inputs'!B63),1)))="",FALSE,IF(ISERROR(DATE(2027,4,1)&gt;=DATE(YEAR('Model inputs'!B63),MONTH('Model inputs'!B63),1)),DATE(2027,4,1)&gt;=DATE(YEAR('Model inputs'!B63),MONTH('Model inputs'!B63),1),IF(DATE(YEAR('Model inputs'!B63),MONTH('Model inputs'!B63),1)="","",DATE(2027,4,1)&gt;=DATE(YEAR('Model inputs'!B63),MONTH('Model inputs'!B63),1)))),IF('Model inputs'!B19="","",'Model inputs'!B19),0)</f>
        <v>200</v>
      </c>
      <c r="L102" s="8">
        <f>IF(IF(IF(ISERROR(DATE(2027,5,1)&gt;=DATE(YEAR('Model inputs'!B63),MONTH('Model inputs'!B63),1)),DATE(2027,5,1)&gt;=DATE(YEAR('Model inputs'!B63),MONTH('Model inputs'!B63),1),IF(DATE(YEAR('Model inputs'!B63),MONTH('Model inputs'!B63),1)="","",DATE(2027,5,1)&gt;=DATE(YEAR('Model inputs'!B63),MONTH('Model inputs'!B63),1)))="",FALSE,IF(ISERROR(DATE(2027,5,1)&gt;=DATE(YEAR('Model inputs'!B63),MONTH('Model inputs'!B63),1)),DATE(2027,5,1)&gt;=DATE(YEAR('Model inputs'!B63),MONTH('Model inputs'!B63),1),IF(DATE(YEAR('Model inputs'!B63),MONTH('Model inputs'!B63),1)="","",DATE(2027,5,1)&gt;=DATE(YEAR('Model inputs'!B63),MONTH('Model inputs'!B63),1)))),IF('Model inputs'!B19="","",'Model inputs'!B19),0)</f>
        <v>200</v>
      </c>
      <c r="M102" s="8">
        <f>IF(IF(IF(ISERROR(DATE(2027,6,1)&gt;=DATE(YEAR('Model inputs'!B63),MONTH('Model inputs'!B63),1)),DATE(2027,6,1)&gt;=DATE(YEAR('Model inputs'!B63),MONTH('Model inputs'!B63),1),IF(DATE(YEAR('Model inputs'!B63),MONTH('Model inputs'!B63),1)="","",DATE(2027,6,1)&gt;=DATE(YEAR('Model inputs'!B63),MONTH('Model inputs'!B63),1)))="",FALSE,IF(ISERROR(DATE(2027,6,1)&gt;=DATE(YEAR('Model inputs'!B63),MONTH('Model inputs'!B63),1)),DATE(2027,6,1)&gt;=DATE(YEAR('Model inputs'!B63),MONTH('Model inputs'!B63),1),IF(DATE(YEAR('Model inputs'!B63),MONTH('Model inputs'!B63),1)="","",DATE(2027,6,1)&gt;=DATE(YEAR('Model inputs'!B63),MONTH('Model inputs'!B63),1)))),IF('Model inputs'!B19="","",'Model inputs'!B19),0)</f>
        <v>200</v>
      </c>
      <c r="N102" s="8">
        <f>IF(IF(IF(ISERROR(DATE(2027,7,1)&gt;=DATE(YEAR('Model inputs'!B63),MONTH('Model inputs'!B63),1)),DATE(2027,7,1)&gt;=DATE(YEAR('Model inputs'!B63),MONTH('Model inputs'!B63),1),IF(DATE(YEAR('Model inputs'!B63),MONTH('Model inputs'!B63),1)="","",DATE(2027,7,1)&gt;=DATE(YEAR('Model inputs'!B63),MONTH('Model inputs'!B63),1)))="",FALSE,IF(ISERROR(DATE(2027,7,1)&gt;=DATE(YEAR('Model inputs'!B63),MONTH('Model inputs'!B63),1)),DATE(2027,7,1)&gt;=DATE(YEAR('Model inputs'!B63),MONTH('Model inputs'!B63),1),IF(DATE(YEAR('Model inputs'!B63),MONTH('Model inputs'!B63),1)="","",DATE(2027,7,1)&gt;=DATE(YEAR('Model inputs'!B63),MONTH('Model inputs'!B63),1)))),IF('Model inputs'!B19="","",'Model inputs'!B19),0)</f>
        <v>200</v>
      </c>
      <c r="O102" s="8">
        <f>IF(IF(IF(ISERROR(DATE(2027,8,1)&gt;=DATE(YEAR('Model inputs'!B63),MONTH('Model inputs'!B63),1)),DATE(2027,8,1)&gt;=DATE(YEAR('Model inputs'!B63),MONTH('Model inputs'!B63),1),IF(DATE(YEAR('Model inputs'!B63),MONTH('Model inputs'!B63),1)="","",DATE(2027,8,1)&gt;=DATE(YEAR('Model inputs'!B63),MONTH('Model inputs'!B63),1)))="",FALSE,IF(ISERROR(DATE(2027,8,1)&gt;=DATE(YEAR('Model inputs'!B63),MONTH('Model inputs'!B63),1)),DATE(2027,8,1)&gt;=DATE(YEAR('Model inputs'!B63),MONTH('Model inputs'!B63),1),IF(DATE(YEAR('Model inputs'!B63),MONTH('Model inputs'!B63),1)="","",DATE(2027,8,1)&gt;=DATE(YEAR('Model inputs'!B63),MONTH('Model inputs'!B63),1)))),IF('Model inputs'!B19="","",'Model inputs'!B19),0)</f>
        <v>200</v>
      </c>
      <c r="P102" s="8">
        <f>IF(IF(IF(ISERROR(DATE(2027,9,1)&gt;=DATE(YEAR('Model inputs'!B63),MONTH('Model inputs'!B63),1)),DATE(2027,9,1)&gt;=DATE(YEAR('Model inputs'!B63),MONTH('Model inputs'!B63),1),IF(DATE(YEAR('Model inputs'!B63),MONTH('Model inputs'!B63),1)="","",DATE(2027,9,1)&gt;=DATE(YEAR('Model inputs'!B63),MONTH('Model inputs'!B63),1)))="",FALSE,IF(ISERROR(DATE(2027,9,1)&gt;=DATE(YEAR('Model inputs'!B63),MONTH('Model inputs'!B63),1)),DATE(2027,9,1)&gt;=DATE(YEAR('Model inputs'!B63),MONTH('Model inputs'!B63),1),IF(DATE(YEAR('Model inputs'!B63),MONTH('Model inputs'!B63),1)="","",DATE(2027,9,1)&gt;=DATE(YEAR('Model inputs'!B63),MONTH('Model inputs'!B63),1)))),IF('Model inputs'!B19="","",'Model inputs'!B19),0)</f>
        <v>200</v>
      </c>
      <c r="Q102" s="8">
        <f>IF(IF(IF(ISERROR(DATE(2027,10,1)&gt;=DATE(YEAR('Model inputs'!B63),MONTH('Model inputs'!B63),1)),DATE(2027,10,1)&gt;=DATE(YEAR('Model inputs'!B63),MONTH('Model inputs'!B63),1),IF(DATE(YEAR('Model inputs'!B63),MONTH('Model inputs'!B63),1)="","",DATE(2027,10,1)&gt;=DATE(YEAR('Model inputs'!B63),MONTH('Model inputs'!B63),1)))="",FALSE,IF(ISERROR(DATE(2027,10,1)&gt;=DATE(YEAR('Model inputs'!B63),MONTH('Model inputs'!B63),1)),DATE(2027,10,1)&gt;=DATE(YEAR('Model inputs'!B63),MONTH('Model inputs'!B63),1),IF(DATE(YEAR('Model inputs'!B63),MONTH('Model inputs'!B63),1)="","",DATE(2027,10,1)&gt;=DATE(YEAR('Model inputs'!B63),MONTH('Model inputs'!B63),1)))),IF('Model inputs'!B19="","",'Model inputs'!B19),0)</f>
        <v>200</v>
      </c>
      <c r="R102" s="8">
        <f>IF(IF(IF(ISERROR(DATE(2027,11,1)&gt;=DATE(YEAR('Model inputs'!B63),MONTH('Model inputs'!B63),1)),DATE(2027,11,1)&gt;=DATE(YEAR('Model inputs'!B63),MONTH('Model inputs'!B63),1),IF(DATE(YEAR('Model inputs'!B63),MONTH('Model inputs'!B63),1)="","",DATE(2027,11,1)&gt;=DATE(YEAR('Model inputs'!B63),MONTH('Model inputs'!B63),1)))="",FALSE,IF(ISERROR(DATE(2027,11,1)&gt;=DATE(YEAR('Model inputs'!B63),MONTH('Model inputs'!B63),1)),DATE(2027,11,1)&gt;=DATE(YEAR('Model inputs'!B63),MONTH('Model inputs'!B63),1),IF(DATE(YEAR('Model inputs'!B63),MONTH('Model inputs'!B63),1)="","",DATE(2027,11,1)&gt;=DATE(YEAR('Model inputs'!B63),MONTH('Model inputs'!B63),1)))),IF('Model inputs'!B19="","",'Model inputs'!B19),0)</f>
        <v>200</v>
      </c>
      <c r="S102" s="8">
        <f>IF(IF(IF(ISERROR(DATE(2027,12,1)&gt;=DATE(YEAR('Model inputs'!B63),MONTH('Model inputs'!B63),1)),DATE(2027,12,1)&gt;=DATE(YEAR('Model inputs'!B63),MONTH('Model inputs'!B63),1),IF(DATE(YEAR('Model inputs'!B63),MONTH('Model inputs'!B63),1)="","",DATE(2027,12,1)&gt;=DATE(YEAR('Model inputs'!B63),MONTH('Model inputs'!B63),1)))="",FALSE,IF(ISERROR(DATE(2027,12,1)&gt;=DATE(YEAR('Model inputs'!B63),MONTH('Model inputs'!B63),1)),DATE(2027,12,1)&gt;=DATE(YEAR('Model inputs'!B63),MONTH('Model inputs'!B63),1),IF(DATE(YEAR('Model inputs'!B63),MONTH('Model inputs'!B63),1)="","",DATE(2027,12,1)&gt;=DATE(YEAR('Model inputs'!B63),MONTH('Model inputs'!B63),1)))),IF('Model inputs'!B19="","",'Model inputs'!B19),0)</f>
        <v>200</v>
      </c>
    </row>
    <row r="103">
      <c r="A103" t="inlineStr" s="21">
        <is>
          <t xml:space="preserve">TS Projected digital revenue</t>
        </is>
      </c>
      <c r="D103" s="8">
        <v>0</v>
      </c>
      <c r="E103" s="8">
        <f>'Model inputs'!E102*'Model inputs'!B21</f>
        <v>0</v>
      </c>
      <c r="F103" s="8">
        <f>'Model inputs'!F102*'Model inputs'!B21</f>
        <v>0</v>
      </c>
      <c r="G103" s="8">
        <f>'Model inputs'!G102*'Model inputs'!B21</f>
        <v>0</v>
      </c>
      <c r="H103" s="8">
        <f>'Model inputs'!H102*'Model inputs'!B21</f>
        <v>1800</v>
      </c>
      <c r="I103" s="8">
        <f>'Model inputs'!I102*'Model inputs'!B21</f>
        <v>1800</v>
      </c>
      <c r="J103" s="8">
        <f>'Model inputs'!J102*'Model inputs'!B21</f>
        <v>1800</v>
      </c>
      <c r="K103" s="8">
        <f>'Model inputs'!K102*'Model inputs'!B21</f>
        <v>1800</v>
      </c>
      <c r="L103" s="8">
        <f>'Model inputs'!L102*'Model inputs'!B21</f>
        <v>1800</v>
      </c>
      <c r="M103" s="8">
        <f>'Model inputs'!M102*'Model inputs'!B21</f>
        <v>1800</v>
      </c>
      <c r="N103" s="8">
        <f>'Model inputs'!N102*'Model inputs'!B21</f>
        <v>1800</v>
      </c>
      <c r="O103" s="8">
        <f>'Model inputs'!O102*'Model inputs'!B21</f>
        <v>1800</v>
      </c>
      <c r="P103" s="8">
        <f>'Model inputs'!P102*'Model inputs'!B21</f>
        <v>1800</v>
      </c>
      <c r="Q103" s="8">
        <f>'Model inputs'!Q102*'Model inputs'!B21</f>
        <v>1800</v>
      </c>
      <c r="R103" s="8">
        <f>'Model inputs'!R102*'Model inputs'!B21</f>
        <v>1800</v>
      </c>
      <c r="S103" s="8">
        <f>'Model inputs'!S102*'Model inputs'!B21</f>
        <v>1800</v>
      </c>
    </row>
    <row r="104">
      <c r="A104" t="inlineStr" s="21">
        <is>
          <t xml:space="preserve">TS Projected variable costs</t>
        </is>
      </c>
      <c r="D104" s="8">
        <v>0</v>
      </c>
      <c r="E104" s="8">
        <f>IF(IF(IF(ISERROR(DATE(2026,10,1)&gt;=DATE(YEAR('Model inputs'!B63),MONTH('Model inputs'!B63),1)),DATE(2026,10,1)&gt;=DATE(YEAR('Model inputs'!B63),MONTH('Model inputs'!B63),1),IF(DATE(YEAR('Model inputs'!B63),MONTH('Model inputs'!B63),1)="","",DATE(2026,10,1)&gt;=DATE(YEAR('Model inputs'!B63),MONTH('Model inputs'!B63),1)))="",FALSE,IF(ISERROR(DATE(2026,10,1)&gt;=DATE(YEAR('Model inputs'!B63),MONTH('Model inputs'!B63),1)),DATE(2026,10,1)&gt;=DATE(YEAR('Model inputs'!B63),MONTH('Model inputs'!B63),1),IF(DATE(YEAR('Model inputs'!B63),MONTH('Model inputs'!B63),1)="","",DATE(2026,10,1)&gt;=DATE(YEAR('Model inputs'!B63),MONTH('Model inputs'!B63),1)))),IF('Model inputs'!B80="","",'Model inputs'!B80),0)</f>
        <v>0</v>
      </c>
      <c r="F104" s="8">
        <f>IF(IF(IF(ISERROR(DATE(2026,11,1)&gt;=DATE(YEAR('Model inputs'!B63),MONTH('Model inputs'!B63),1)),DATE(2026,11,1)&gt;=DATE(YEAR('Model inputs'!B63),MONTH('Model inputs'!B63),1),IF(DATE(YEAR('Model inputs'!B63),MONTH('Model inputs'!B63),1)="","",DATE(2026,11,1)&gt;=DATE(YEAR('Model inputs'!B63),MONTH('Model inputs'!B63),1)))="",FALSE,IF(ISERROR(DATE(2026,11,1)&gt;=DATE(YEAR('Model inputs'!B63),MONTH('Model inputs'!B63),1)),DATE(2026,11,1)&gt;=DATE(YEAR('Model inputs'!B63),MONTH('Model inputs'!B63),1),IF(DATE(YEAR('Model inputs'!B63),MONTH('Model inputs'!B63),1)="","",DATE(2026,11,1)&gt;=DATE(YEAR('Model inputs'!B63),MONTH('Model inputs'!B63),1)))),IF('Model inputs'!B80="","",'Model inputs'!B80),0)</f>
        <v>0</v>
      </c>
      <c r="G104" s="8">
        <f>IF(IF(IF(ISERROR(DATE(2026,12,1)&gt;=DATE(YEAR('Model inputs'!B63),MONTH('Model inputs'!B63),1)),DATE(2026,12,1)&gt;=DATE(YEAR('Model inputs'!B63),MONTH('Model inputs'!B63),1),IF(DATE(YEAR('Model inputs'!B63),MONTH('Model inputs'!B63),1)="","",DATE(2026,12,1)&gt;=DATE(YEAR('Model inputs'!B63),MONTH('Model inputs'!B63),1)))="",FALSE,IF(ISERROR(DATE(2026,12,1)&gt;=DATE(YEAR('Model inputs'!B63),MONTH('Model inputs'!B63),1)),DATE(2026,12,1)&gt;=DATE(YEAR('Model inputs'!B63),MONTH('Model inputs'!B63),1),IF(DATE(YEAR('Model inputs'!B63),MONTH('Model inputs'!B63),1)="","",DATE(2026,12,1)&gt;=DATE(YEAR('Model inputs'!B63),MONTH('Model inputs'!B63),1)))),IF('Model inputs'!B80="","",'Model inputs'!B80),0)</f>
        <v>0</v>
      </c>
      <c r="H104" s="8">
        <f>IF(IF(IF(ISERROR(DATE(2027,1,1)&gt;=DATE(YEAR('Model inputs'!B63),MONTH('Model inputs'!B63),1)),DATE(2027,1,1)&gt;=DATE(YEAR('Model inputs'!B63),MONTH('Model inputs'!B63),1),IF(DATE(YEAR('Model inputs'!B63),MONTH('Model inputs'!B63),1)="","",DATE(2027,1,1)&gt;=DATE(YEAR('Model inputs'!B63),MONTH('Model inputs'!B63),1)))="",FALSE,IF(ISERROR(DATE(2027,1,1)&gt;=DATE(YEAR('Model inputs'!B63),MONTH('Model inputs'!B63),1)),DATE(2027,1,1)&gt;=DATE(YEAR('Model inputs'!B63),MONTH('Model inputs'!B63),1),IF(DATE(YEAR('Model inputs'!B63),MONTH('Model inputs'!B63),1)="","",DATE(2027,1,1)&gt;=DATE(YEAR('Model inputs'!B63),MONTH('Model inputs'!B63),1)))),IF('Model inputs'!B80="","",'Model inputs'!B80),0)</f>
        <v>497.19</v>
      </c>
      <c r="I104" s="8">
        <f>IF(IF(IF(ISERROR(DATE(2027,2,1)&gt;=DATE(YEAR('Model inputs'!B63),MONTH('Model inputs'!B63),1)),DATE(2027,2,1)&gt;=DATE(YEAR('Model inputs'!B63),MONTH('Model inputs'!B63),1),IF(DATE(YEAR('Model inputs'!B63),MONTH('Model inputs'!B63),1)="","",DATE(2027,2,1)&gt;=DATE(YEAR('Model inputs'!B63),MONTH('Model inputs'!B63),1)))="",FALSE,IF(ISERROR(DATE(2027,2,1)&gt;=DATE(YEAR('Model inputs'!B63),MONTH('Model inputs'!B63),1)),DATE(2027,2,1)&gt;=DATE(YEAR('Model inputs'!B63),MONTH('Model inputs'!B63),1),IF(DATE(YEAR('Model inputs'!B63),MONTH('Model inputs'!B63),1)="","",DATE(2027,2,1)&gt;=DATE(YEAR('Model inputs'!B63),MONTH('Model inputs'!B63),1)))),IF('Model inputs'!B80="","",'Model inputs'!B80),0)</f>
        <v>497.19</v>
      </c>
      <c r="J104" s="8">
        <f>IF(IF(IF(ISERROR(DATE(2027,3,1)&gt;=DATE(YEAR('Model inputs'!B63),MONTH('Model inputs'!B63),1)),DATE(2027,3,1)&gt;=DATE(YEAR('Model inputs'!B63),MONTH('Model inputs'!B63),1),IF(DATE(YEAR('Model inputs'!B63),MONTH('Model inputs'!B63),1)="","",DATE(2027,3,1)&gt;=DATE(YEAR('Model inputs'!B63),MONTH('Model inputs'!B63),1)))="",FALSE,IF(ISERROR(DATE(2027,3,1)&gt;=DATE(YEAR('Model inputs'!B63),MONTH('Model inputs'!B63),1)),DATE(2027,3,1)&gt;=DATE(YEAR('Model inputs'!B63),MONTH('Model inputs'!B63),1),IF(DATE(YEAR('Model inputs'!B63),MONTH('Model inputs'!B63),1)="","",DATE(2027,3,1)&gt;=DATE(YEAR('Model inputs'!B63),MONTH('Model inputs'!B63),1)))),IF('Model inputs'!B80="","",'Model inputs'!B80),0)</f>
        <v>497.19</v>
      </c>
      <c r="K104" s="8">
        <f>IF(IF(IF(ISERROR(DATE(2027,4,1)&gt;=DATE(YEAR('Model inputs'!B63),MONTH('Model inputs'!B63),1)),DATE(2027,4,1)&gt;=DATE(YEAR('Model inputs'!B63),MONTH('Model inputs'!B63),1),IF(DATE(YEAR('Model inputs'!B63),MONTH('Model inputs'!B63),1)="","",DATE(2027,4,1)&gt;=DATE(YEAR('Model inputs'!B63),MONTH('Model inputs'!B63),1)))="",FALSE,IF(ISERROR(DATE(2027,4,1)&gt;=DATE(YEAR('Model inputs'!B63),MONTH('Model inputs'!B63),1)),DATE(2027,4,1)&gt;=DATE(YEAR('Model inputs'!B63),MONTH('Model inputs'!B63),1),IF(DATE(YEAR('Model inputs'!B63),MONTH('Model inputs'!B63),1)="","",DATE(2027,4,1)&gt;=DATE(YEAR('Model inputs'!B63),MONTH('Model inputs'!B63),1)))),IF('Model inputs'!B80="","",'Model inputs'!B80),0)</f>
        <v>497.19</v>
      </c>
      <c r="L104" s="8">
        <f>IF(IF(IF(ISERROR(DATE(2027,5,1)&gt;=DATE(YEAR('Model inputs'!B63),MONTH('Model inputs'!B63),1)),DATE(2027,5,1)&gt;=DATE(YEAR('Model inputs'!B63),MONTH('Model inputs'!B63),1),IF(DATE(YEAR('Model inputs'!B63),MONTH('Model inputs'!B63),1)="","",DATE(2027,5,1)&gt;=DATE(YEAR('Model inputs'!B63),MONTH('Model inputs'!B63),1)))="",FALSE,IF(ISERROR(DATE(2027,5,1)&gt;=DATE(YEAR('Model inputs'!B63),MONTH('Model inputs'!B63),1)),DATE(2027,5,1)&gt;=DATE(YEAR('Model inputs'!B63),MONTH('Model inputs'!B63),1),IF(DATE(YEAR('Model inputs'!B63),MONTH('Model inputs'!B63),1)="","",DATE(2027,5,1)&gt;=DATE(YEAR('Model inputs'!B63),MONTH('Model inputs'!B63),1)))),IF('Model inputs'!B80="","",'Model inputs'!B80),0)</f>
        <v>497.19</v>
      </c>
      <c r="M104" s="8">
        <f>IF(IF(IF(ISERROR(DATE(2027,6,1)&gt;=DATE(YEAR('Model inputs'!B63),MONTH('Model inputs'!B63),1)),DATE(2027,6,1)&gt;=DATE(YEAR('Model inputs'!B63),MONTH('Model inputs'!B63),1),IF(DATE(YEAR('Model inputs'!B63),MONTH('Model inputs'!B63),1)="","",DATE(2027,6,1)&gt;=DATE(YEAR('Model inputs'!B63),MONTH('Model inputs'!B63),1)))="",FALSE,IF(ISERROR(DATE(2027,6,1)&gt;=DATE(YEAR('Model inputs'!B63),MONTH('Model inputs'!B63),1)),DATE(2027,6,1)&gt;=DATE(YEAR('Model inputs'!B63),MONTH('Model inputs'!B63),1),IF(DATE(YEAR('Model inputs'!B63),MONTH('Model inputs'!B63),1)="","",DATE(2027,6,1)&gt;=DATE(YEAR('Model inputs'!B63),MONTH('Model inputs'!B63),1)))),IF('Model inputs'!B80="","",'Model inputs'!B80),0)</f>
        <v>497.19</v>
      </c>
      <c r="N104" s="8">
        <f>IF(IF(IF(ISERROR(DATE(2027,7,1)&gt;=DATE(YEAR('Model inputs'!B63),MONTH('Model inputs'!B63),1)),DATE(2027,7,1)&gt;=DATE(YEAR('Model inputs'!B63),MONTH('Model inputs'!B63),1),IF(DATE(YEAR('Model inputs'!B63),MONTH('Model inputs'!B63),1)="","",DATE(2027,7,1)&gt;=DATE(YEAR('Model inputs'!B63),MONTH('Model inputs'!B63),1)))="",FALSE,IF(ISERROR(DATE(2027,7,1)&gt;=DATE(YEAR('Model inputs'!B63),MONTH('Model inputs'!B63),1)),DATE(2027,7,1)&gt;=DATE(YEAR('Model inputs'!B63),MONTH('Model inputs'!B63),1),IF(DATE(YEAR('Model inputs'!B63),MONTH('Model inputs'!B63),1)="","",DATE(2027,7,1)&gt;=DATE(YEAR('Model inputs'!B63),MONTH('Model inputs'!B63),1)))),IF('Model inputs'!B80="","",'Model inputs'!B80),0)</f>
        <v>497.19</v>
      </c>
      <c r="O104" s="8">
        <f>IF(IF(IF(ISERROR(DATE(2027,8,1)&gt;=DATE(YEAR('Model inputs'!B63),MONTH('Model inputs'!B63),1)),DATE(2027,8,1)&gt;=DATE(YEAR('Model inputs'!B63),MONTH('Model inputs'!B63),1),IF(DATE(YEAR('Model inputs'!B63),MONTH('Model inputs'!B63),1)="","",DATE(2027,8,1)&gt;=DATE(YEAR('Model inputs'!B63),MONTH('Model inputs'!B63),1)))="",FALSE,IF(ISERROR(DATE(2027,8,1)&gt;=DATE(YEAR('Model inputs'!B63),MONTH('Model inputs'!B63),1)),DATE(2027,8,1)&gt;=DATE(YEAR('Model inputs'!B63),MONTH('Model inputs'!B63),1),IF(DATE(YEAR('Model inputs'!B63),MONTH('Model inputs'!B63),1)="","",DATE(2027,8,1)&gt;=DATE(YEAR('Model inputs'!B63),MONTH('Model inputs'!B63),1)))),IF('Model inputs'!B80="","",'Model inputs'!B80),0)</f>
        <v>497.19</v>
      </c>
      <c r="P104" s="8">
        <f>IF(IF(IF(ISERROR(DATE(2027,9,1)&gt;=DATE(YEAR('Model inputs'!B63),MONTH('Model inputs'!B63),1)),DATE(2027,9,1)&gt;=DATE(YEAR('Model inputs'!B63),MONTH('Model inputs'!B63),1),IF(DATE(YEAR('Model inputs'!B63),MONTH('Model inputs'!B63),1)="","",DATE(2027,9,1)&gt;=DATE(YEAR('Model inputs'!B63),MONTH('Model inputs'!B63),1)))="",FALSE,IF(ISERROR(DATE(2027,9,1)&gt;=DATE(YEAR('Model inputs'!B63),MONTH('Model inputs'!B63),1)),DATE(2027,9,1)&gt;=DATE(YEAR('Model inputs'!B63),MONTH('Model inputs'!B63),1),IF(DATE(YEAR('Model inputs'!B63),MONTH('Model inputs'!B63),1)="","",DATE(2027,9,1)&gt;=DATE(YEAR('Model inputs'!B63),MONTH('Model inputs'!B63),1)))),IF('Model inputs'!B80="","",'Model inputs'!B80),0)</f>
        <v>497.19</v>
      </c>
      <c r="Q104" s="8">
        <f>IF(IF(IF(ISERROR(DATE(2027,10,1)&gt;=DATE(YEAR('Model inputs'!B63),MONTH('Model inputs'!B63),1)),DATE(2027,10,1)&gt;=DATE(YEAR('Model inputs'!B63),MONTH('Model inputs'!B63),1),IF(DATE(YEAR('Model inputs'!B63),MONTH('Model inputs'!B63),1)="","",DATE(2027,10,1)&gt;=DATE(YEAR('Model inputs'!B63),MONTH('Model inputs'!B63),1)))="",FALSE,IF(ISERROR(DATE(2027,10,1)&gt;=DATE(YEAR('Model inputs'!B63),MONTH('Model inputs'!B63),1)),DATE(2027,10,1)&gt;=DATE(YEAR('Model inputs'!B63),MONTH('Model inputs'!B63),1),IF(DATE(YEAR('Model inputs'!B63),MONTH('Model inputs'!B63),1)="","",DATE(2027,10,1)&gt;=DATE(YEAR('Model inputs'!B63),MONTH('Model inputs'!B63),1)))),IF('Model inputs'!B80="","",'Model inputs'!B80),0)</f>
        <v>497.19</v>
      </c>
      <c r="R104" s="8">
        <f>IF(IF(IF(ISERROR(DATE(2027,11,1)&gt;=DATE(YEAR('Model inputs'!B63),MONTH('Model inputs'!B63),1)),DATE(2027,11,1)&gt;=DATE(YEAR('Model inputs'!B63),MONTH('Model inputs'!B63),1),IF(DATE(YEAR('Model inputs'!B63),MONTH('Model inputs'!B63),1)="","",DATE(2027,11,1)&gt;=DATE(YEAR('Model inputs'!B63),MONTH('Model inputs'!B63),1)))="",FALSE,IF(ISERROR(DATE(2027,11,1)&gt;=DATE(YEAR('Model inputs'!B63),MONTH('Model inputs'!B63),1)),DATE(2027,11,1)&gt;=DATE(YEAR('Model inputs'!B63),MONTH('Model inputs'!B63),1),IF(DATE(YEAR('Model inputs'!B63),MONTH('Model inputs'!B63),1)="","",DATE(2027,11,1)&gt;=DATE(YEAR('Model inputs'!B63),MONTH('Model inputs'!B63),1)))),IF('Model inputs'!B80="","",'Model inputs'!B80),0)</f>
        <v>497.19</v>
      </c>
      <c r="S104" s="8">
        <f>IF(IF(IF(ISERROR(DATE(2027,12,1)&gt;=DATE(YEAR('Model inputs'!B63),MONTH('Model inputs'!B63),1)),DATE(2027,12,1)&gt;=DATE(YEAR('Model inputs'!B63),MONTH('Model inputs'!B63),1),IF(DATE(YEAR('Model inputs'!B63),MONTH('Model inputs'!B63),1)="","",DATE(2027,12,1)&gt;=DATE(YEAR('Model inputs'!B63),MONTH('Model inputs'!B63),1)))="",FALSE,IF(ISERROR(DATE(2027,12,1)&gt;=DATE(YEAR('Model inputs'!B63),MONTH('Model inputs'!B63),1)),DATE(2027,12,1)&gt;=DATE(YEAR('Model inputs'!B63),MONTH('Model inputs'!B63),1),IF(DATE(YEAR('Model inputs'!B63),MONTH('Model inputs'!B63),1)="","",DATE(2027,12,1)&gt;=DATE(YEAR('Model inputs'!B63),MONTH('Model inputs'!B63),1)))),IF('Model inputs'!B80="","",'Model inputs'!B80),0)</f>
        <v>497.19</v>
      </c>
    </row>
    <row r="105">
      <c r="A105" t="inlineStr" s="21">
        <is>
          <t xml:space="preserve">TS Projection start date · 04 — Scenario comparison — Base is Main Scenario</t>
        </is>
      </c>
      <c r="B105" s="13">
        <f>DATE(2026,10,1)</f>
        <v>46296</v>
      </c>
    </row>
    <row r="106">
      <c r="A106" t="inlineStr" s="21">
        <is>
          <t xml:space="preserve">TS Projection start date · 07 — Cash projection — hypothetical dates and balances</t>
        </is>
      </c>
      <c r="C106" s="13">
        <f>DATE(2026,10,1)</f>
        <v>46296</v>
      </c>
    </row>
    <row r="107">
      <c r="A107" t="inlineStr" s="21">
        <is>
          <t xml:space="preserve">TS Promotional cash subsidy</t>
        </is>
      </c>
      <c r="C107" s="9">
        <f>'01 — Editable assumptions — USD'!B44</f>
        <v>0</v>
      </c>
    </row>
    <row r="108">
      <c r="A108" t="inlineStr" s="21">
        <is>
          <t xml:space="preserve">TS Refund allowance per order · 04 — Scenario comparison — Base is Main Scenario · Main Scenario</t>
        </is>
      </c>
      <c r="B108" s="8">
        <f>'Model inputs'!B21*'Model inputs'!B117</f>
        <v>0.18</v>
      </c>
    </row>
    <row r="109">
      <c r="A109" t="inlineStr" s="21">
        <is>
          <t xml:space="preserve">TS Refund allowance per order · TicketStub — Growth</t>
        </is>
      </c>
      <c r="B109" s="8">
        <f>'Model inputs'!B23*'Model inputs'!B150</f>
        <v>0.18</v>
      </c>
    </row>
    <row r="110">
      <c r="A110" t="inlineStr" s="21">
        <is>
          <t xml:space="preserve">TS Refund allowance per order · TicketStub — Conservative</t>
        </is>
      </c>
      <c r="B110" s="8">
        <f>'Model inputs'!B24*'Model inputs'!B151</f>
        <v>0.18</v>
      </c>
    </row>
    <row r="111">
      <c r="A111" t="inlineStr" s="21">
        <is>
          <t xml:space="preserve">TS Variable operations per order · 04 — Scenario comparison — Base is Main Scenario · Main Scenario</t>
        </is>
      </c>
      <c r="B111" s="8">
        <f>'Model inputs'!B123+'Model inputs'!B121+'Model inputs'!B122</f>
        <v>0.2</v>
      </c>
    </row>
    <row r="112">
      <c r="A112" t="inlineStr" s="21">
        <is>
          <t xml:space="preserve">TS Variable operations per order · TicketStub — Growth</t>
        </is>
      </c>
      <c r="B112" s="8">
        <f>'Model inputs'!B182+'Model inputs'!B177+'Model inputs'!B179</f>
        <v>0.2</v>
      </c>
    </row>
    <row r="113">
      <c r="A113" t="inlineStr" s="21">
        <is>
          <t xml:space="preserve">TS Variable operations per order · TicketStub — Conservative</t>
        </is>
      </c>
      <c r="B113" s="8">
        <f>'Model inputs'!B183+'Model inputs'!B178+'Model inputs'!B180</f>
        <v>0.2</v>
      </c>
    </row>
    <row r="114">
      <c r="A114" t="inlineStr" s="21">
        <is>
          <t xml:space="preserve">TS Monthly AI spend · 04 — Scenario comparison — Base is Main Scenario</t>
        </is>
      </c>
      <c r="B114" s="8">
        <f>'Model inputs'!B120*'Model inputs'!B6</f>
        <v>308.99</v>
      </c>
    </row>
    <row r="115">
      <c r="A115" t="inlineStr" s="21">
        <is>
          <t xml:space="preserve">TS Monthly visits · 04 — Scenario comparison — Base is Main Scenario</t>
        </is>
      </c>
      <c r="B115" s="8">
        <f>'04 — Scenario comparison — Base'!B5</f>
        <v>10000</v>
      </c>
    </row>
    <row r="116">
      <c r="A116" t="inlineStr" s="21">
        <is>
          <t xml:space="preserve">TS Paid conversion of visits · 04 — Scenario comparison — Base is Main Scenario</t>
        </is>
      </c>
      <c r="B116" s="8">
        <f>'04 — Scenario comparison — Base'!B7</f>
        <v>0.02</v>
      </c>
    </row>
    <row r="117">
      <c r="A117" t="inlineStr" s="21">
        <is>
          <t xml:space="preserve">TS Digital refund allowance · 04 — Scenario comparison — Base is Main Scenario</t>
        </is>
      </c>
      <c r="B117" s="8">
        <f>'01 — Editable assumptions — USD'!B14</f>
        <v>0.02</v>
      </c>
    </row>
    <row r="118">
      <c r="A118" t="inlineStr" s="21">
        <is>
          <t xml:space="preserve">TS Payment fixed fee · 04 — Scenario comparison — Base is Main Scenario</t>
        </is>
      </c>
      <c r="B118" s="9">
        <f>'01 — Editable assumptions — USD'!B13</f>
        <v>0.3</v>
      </c>
    </row>
    <row r="119">
      <c r="A119" t="inlineStr" s="21">
        <is>
          <t xml:space="preserve">TS Payment rate · 04 — Scenario comparison — Base is Main Scenario</t>
        </is>
      </c>
      <c r="B119" s="8">
        <f>'01 — Editable assumptions — USD'!B12</f>
        <v>0.029</v>
      </c>
    </row>
    <row r="120">
      <c r="A120" t="inlineStr" s="21">
        <is>
          <t xml:space="preserve">TS Studio starts · 04 — Scenario comparison — Base is Main Scenario</t>
        </is>
      </c>
      <c r="B120" s="8">
        <f>'Model inputs'!B115*'Model inputs'!B131</f>
        <v>1000</v>
      </c>
    </row>
    <row r="121">
      <c r="A121" t="inlineStr" s="21">
        <is>
          <t xml:space="preserve">TS Variable delivery per order · 04 — Scenario comparison — Base is Main Scenario</t>
        </is>
      </c>
      <c r="B121" s="9">
        <f>'01 — Editable assumptions — USD'!B16</f>
        <v>0.03</v>
      </c>
    </row>
    <row r="122">
      <c r="A122" t="inlineStr" s="21">
        <is>
          <t xml:space="preserve">TS Variable email per order · 04 — Scenario comparison — Base is Main Scenario</t>
        </is>
      </c>
      <c r="B122" s="9">
        <f>'01 — Editable assumptions — USD'!B17</f>
        <v>0.02</v>
      </c>
    </row>
    <row r="123">
      <c r="A123" t="inlineStr" s="21">
        <is>
          <t xml:space="preserve">TS Variable support per order · 04 — Scenario comparison — Base is Main Scenario</t>
        </is>
      </c>
      <c r="B123" s="9">
        <f>'01 — Editable assumptions — USD'!B15</f>
        <v>0.15</v>
      </c>
    </row>
    <row r="124">
      <c r="A124" t="inlineStr" s="21">
        <is>
          <t xml:space="preserve">TS Billed retry rate · 04 — Scenario comparison — Base is Main Scenario</t>
        </is>
      </c>
      <c r="B124" s="8">
        <f>'01 — Editable assumptions — USD'!B31</f>
        <v>0</v>
      </c>
    </row>
    <row r="125">
      <c r="A125" t="inlineStr" s="21">
        <is>
          <t xml:space="preserve">TS Chat cost per call · 04 — Scenario comparison — Base is Main Scenario</t>
        </is>
      </c>
      <c r="B125" s="8">
        <f>'Model inputs'!B132*'Model inputs'!B142/1000000+'Model inputs'!B133*'Model inputs'!B143/1000000</f>
        <v>0.009000000000000001</v>
      </c>
    </row>
    <row r="126">
      <c r="A126" t="inlineStr" s="21">
        <is>
          <t xml:space="preserve">TS Chats per start · 03 — Digital unit economics and funding — monthly assumptions</t>
        </is>
      </c>
      <c r="B126" s="8">
        <f>'04 — Scenario comparison — Base'!B9</f>
        <v>4</v>
      </c>
    </row>
    <row r="127">
      <c r="A127" t="inlineStr" s="21">
        <is>
          <t xml:space="preserve">TS Funding allowance · 04 — Scenario comparison — Base is Main Scenario</t>
        </is>
      </c>
      <c r="B127" s="8">
        <f>'01 — Editable assumptions — USD'!B30</f>
        <v>0.06</v>
      </c>
    </row>
    <row r="128">
      <c r="A128" t="inlineStr" s="21">
        <is>
          <t xml:space="preserve">TS Image cost per generation · 04 — Scenario comparison — Base is Main Scenario</t>
        </is>
      </c>
      <c r="B128" s="8">
        <f>'Model inputs'!B139*'Model inputs'!B138/1000000+'Model inputs'!B137*'Model inputs'!B136/1000000+'Model inputs'!B135*'Model inputs'!B134/1000000</f>
        <v>0.12075</v>
      </c>
    </row>
    <row r="129">
      <c r="A129" t="inlineStr" s="21">
        <is>
          <t xml:space="preserve">TS Images per start · 03 — Digital unit economics and funding — monthly assumptions</t>
        </is>
      </c>
      <c r="B129" s="8">
        <f>'Model inputs'!B67+'Model inputs'!B26</f>
        <v>2</v>
      </c>
    </row>
    <row r="130">
      <c r="A130" t="inlineStr" s="21">
        <is>
          <t xml:space="preserve">TS Research cost per start · 04 — Scenario comparison — Base is Main Scenario</t>
        </is>
      </c>
      <c r="B130" s="8">
        <f>'Model inputs'!B140*'Model inputs'!B142/1000000+'Model inputs'!B141*'Model inputs'!B143/1000000</f>
        <v>0.014</v>
      </c>
    </row>
    <row r="131">
      <c r="A131" t="inlineStr" s="21">
        <is>
          <t xml:space="preserve">TS Studio start rate · 04 — Scenario comparison — Base is Main Scenario</t>
        </is>
      </c>
      <c r="B131" s="8">
        <f>'04 — Scenario comparison — Base'!B6</f>
        <v>0.1</v>
      </c>
    </row>
    <row r="132">
      <c r="A132" t="inlineStr" s="21">
        <is>
          <t xml:space="preserve">TS Chat input tokens · 04 — Scenario comparison — Base is Main Scenario</t>
        </is>
      </c>
      <c r="B132" s="8">
        <f>'01 — Editable assumptions — USD'!B20</f>
        <v>3000</v>
      </c>
    </row>
    <row r="133">
      <c r="A133" t="inlineStr" s="21">
        <is>
          <t xml:space="preserve">TS Chat output tokens · 04 — Scenario comparison — Base is Main Scenario</t>
        </is>
      </c>
      <c r="B133" s="8">
        <f>'01 — Editable assumptions — USD'!B21</f>
        <v>300</v>
      </c>
    </row>
    <row r="134">
      <c r="A134" t="inlineStr" s="21">
        <is>
          <t xml:space="preserve">TS Image input rate per million tokens · 04 — Scenario comparison — Base is Main Scenario</t>
        </is>
      </c>
      <c r="B134" s="23">
        <f>'01 — Editable assumptions — USD'!B29</f>
        <v>8</v>
      </c>
    </row>
    <row r="135">
      <c r="A135" t="inlineStr" s="21">
        <is>
          <t xml:space="preserve">TS Image input tokens · 04 — Scenario comparison — Base is Main Scenario</t>
        </is>
      </c>
      <c r="B135" s="8">
        <f>'01 — Editable assumptions — USD'!B26</f>
        <v>0</v>
      </c>
    </row>
    <row r="136">
      <c r="A136" t="inlineStr" s="21">
        <is>
          <t xml:space="preserve">TS Image output rate per million tokens · 04 — Scenario comparison — Base is Main Scenario</t>
        </is>
      </c>
      <c r="B136" s="23">
        <f>'01 — Editable assumptions — USD'!B28</f>
        <v>30</v>
      </c>
    </row>
    <row r="137">
      <c r="A137" t="inlineStr" s="21">
        <is>
          <t xml:space="preserve">TS Image output tokens · 04 — Scenario comparison — Base is Main Scenario</t>
        </is>
      </c>
      <c r="B137" s="8">
        <f>'01 — Editable assumptions — USD'!B25</f>
        <v>4000</v>
      </c>
    </row>
    <row r="138">
      <c r="A138" t="inlineStr" s="21">
        <is>
          <t xml:space="preserve">TS Image text rate per million tokens · 04 — Scenario comparison — Base is Main Scenario</t>
        </is>
      </c>
      <c r="B138" s="23">
        <f>'01 — Editable assumptions — USD'!B27</f>
        <v>5</v>
      </c>
    </row>
    <row r="139">
      <c r="A139" t="inlineStr" s="21">
        <is>
          <t xml:space="preserve">TS Image text tokens · 04 — Scenario comparison — Base is Main Scenario</t>
        </is>
      </c>
      <c r="B139" s="8">
        <f>'01 — Editable assumptions — USD'!B24</f>
        <v>150</v>
      </c>
    </row>
    <row r="140">
      <c r="A140" t="inlineStr" s="21">
        <is>
          <t xml:space="preserve">TS Research input tokens · 04 — Scenario comparison — Base is Main Scenario</t>
        </is>
      </c>
      <c r="B140" s="8">
        <f>'01 — Editable assumptions — USD'!B18</f>
        <v>4000</v>
      </c>
    </row>
    <row r="141">
      <c r="A141" t="inlineStr" s="21">
        <is>
          <t xml:space="preserve">TS Research output tokens · 04 — Scenario comparison — Base is Main Scenario</t>
        </is>
      </c>
      <c r="B141" s="8">
        <f>'01 — Editable assumptions — USD'!B19</f>
        <v>600</v>
      </c>
    </row>
    <row r="142">
      <c r="A142" t="inlineStr" s="21">
        <is>
          <t xml:space="preserve">TS Text input rate per million tokens · 04 — Scenario comparison — Base is Main Scenario</t>
        </is>
      </c>
      <c r="B142" s="23">
        <f>'01 — Editable assumptions — USD'!B22</f>
        <v>2</v>
      </c>
    </row>
    <row r="143">
      <c r="A143" t="inlineStr" s="21">
        <is>
          <t xml:space="preserve">TS Text output rate per million tokens · 04 — Scenario comparison — Base is Main Scenario</t>
        </is>
      </c>
      <c r="B143" s="23">
        <f>'01 — Editable assumptions — USD'!B23</f>
        <v>10</v>
      </c>
    </row>
    <row r="144">
      <c r="A144" t="inlineStr" s="21">
        <is>
          <t xml:space="preserve">TS Billed retry rate · TicketStub — Growth</t>
        </is>
      </c>
      <c r="B144" s="8">
        <f>'01 — Editable assumptions — USD'!B31</f>
        <v>0</v>
      </c>
    </row>
    <row r="145">
      <c r="A145" t="inlineStr" s="21">
        <is>
          <t xml:space="preserve">TS Billed retry rate · TicketStub — Conservative</t>
        </is>
      </c>
      <c r="B145" s="8">
        <f>'01 — Editable assumptions — USD'!B31</f>
        <v>0</v>
      </c>
    </row>
    <row r="146">
      <c r="A146" t="inlineStr" s="21">
        <is>
          <t xml:space="preserve">TS Cash month days · TS Launch reserve · 07 — Cash projection — hypothetical dates and balances · Main Scenario</t>
        </is>
      </c>
      <c r="C146" s="8">
        <f>'01 — Editable assumptions — USD'!B40</f>
        <v>30</v>
      </c>
    </row>
    <row r="147">
      <c r="A147" t="inlineStr" s="21">
        <is>
          <t xml:space="preserve">TS Chat cost per call · TicketStub — Growth</t>
        </is>
      </c>
      <c r="B147" s="8">
        <f>'Model inputs'!B188*'Model inputs'!B208/1000000+'Model inputs'!B190*'Model inputs'!B210/1000000</f>
        <v>0.009000000000000001</v>
      </c>
    </row>
    <row r="148">
      <c r="A148" t="inlineStr" s="21">
        <is>
          <t xml:space="preserve">TS Chat cost per call · TicketStub — Conservative</t>
        </is>
      </c>
      <c r="B148" s="8">
        <f>'Model inputs'!B189*'Model inputs'!B209/1000000+'Model inputs'!B191*'Model inputs'!B211/1000000</f>
        <v>0.009000000000000001</v>
      </c>
    </row>
    <row r="149">
      <c r="A149" t="inlineStr" s="21">
        <is>
          <t xml:space="preserve">TS Contingency reserve · TS Launch reserve · 07 — Cash projection — hypothetical dates and balances · Main Scenario</t>
        </is>
      </c>
      <c r="C149" s="9">
        <f>'01 — Editable assumptions — USD'!B38</f>
        <v>500</v>
      </c>
    </row>
    <row r="150">
      <c r="A150" t="inlineStr" s="21">
        <is>
          <t xml:space="preserve">TS Digital refund allowance · TicketStub — Growth</t>
        </is>
      </c>
      <c r="B150" s="8">
        <f>'01 — Editable assumptions — USD'!B14</f>
        <v>0.02</v>
      </c>
    </row>
    <row r="151">
      <c r="A151" t="inlineStr" s="21">
        <is>
          <t xml:space="preserve">TS Digital refund allowance · TicketStub — Conservative</t>
        </is>
      </c>
      <c r="B151" s="8">
        <f>'01 — Editable assumptions — USD'!B14</f>
        <v>0.02</v>
      </c>
    </row>
    <row r="152">
      <c r="A152" t="inlineStr" s="21">
        <is>
          <t xml:space="preserve">TS Fixed budget amount</t>
        </is>
      </c>
      <c r="C152" s="6">
        <v>0</v>
      </c>
    </row>
    <row r="153" outlineLevel="1">
      <c r="A153" t="inlineStr" s="22">
        <is>
          <t xml:space="preserve">TS Fixed budget amount &gt; Data and API licensing contingency</t>
        </is>
      </c>
      <c r="C153" s="8">
        <f>'02 — Fixed monthly budgets — es'!B5</f>
        <v>40</v>
      </c>
    </row>
    <row r="154" outlineLevel="1">
      <c r="A154" t="inlineStr" s="22">
        <is>
          <t xml:space="preserve">TS Fixed budget amount &gt; Database backup and base storage</t>
        </is>
      </c>
      <c r="C154" s="8">
        <f>'02 — Fixed monthly budgets — es'!B6</f>
        <v>30</v>
      </c>
    </row>
    <row r="155" outlineLevel="1">
      <c r="A155" t="inlineStr" s="22">
        <is>
          <t xml:space="preserve">TS Fixed budget amount &gt; Development AI and tools</t>
        </is>
      </c>
      <c r="C155" s="8">
        <f>'02 — Fixed monthly budgets — es'!B7</f>
        <v>60</v>
      </c>
    </row>
    <row r="156" outlineLevel="1">
      <c r="A156" t="inlineStr" s="22">
        <is>
          <t xml:space="preserve">TS Fixed budget amount &gt; Domain admin and accounting</t>
        </is>
      </c>
      <c r="C156" s="8">
        <f>'02 — Fixed monthly budgets — es'!B8</f>
        <v>20</v>
      </c>
    </row>
    <row r="157" outlineLevel="1">
      <c r="A157" t="inlineStr" s="22">
        <is>
          <t xml:space="preserve">TS Fixed budget amount &gt; Email base provision</t>
        </is>
      </c>
      <c r="C157" s="8">
        <f>'02 — Fixed monthly budgets — es'!B9</f>
        <v>20</v>
      </c>
    </row>
    <row r="158" outlineLevel="1">
      <c r="A158" t="inlineStr" s="22">
        <is>
          <t xml:space="preserve">TS Fixed budget amount &gt; Hosting</t>
        </is>
      </c>
      <c r="C158" s="8">
        <f>'02 — Fixed monthly budgets — es'!B10</f>
        <v>80</v>
      </c>
    </row>
    <row r="159" outlineLevel="1">
      <c r="A159" t="inlineStr" s="22">
        <is>
          <t xml:space="preserve">TS Fixed budget amount &gt; Monitoring traces and security</t>
        </is>
      </c>
      <c r="C159" s="8">
        <f>'02 — Fixed monthly budgets — es'!B11</f>
        <v>50</v>
      </c>
    </row>
    <row r="160">
      <c r="A160" t="inlineStr" s="21">
        <is>
          <t xml:space="preserve">TS Funding allowance · TicketStub — Growth</t>
        </is>
      </c>
      <c r="B160" s="8">
        <f>'01 — Editable assumptions — USD'!B30</f>
        <v>0.06</v>
      </c>
    </row>
    <row r="161">
      <c r="A161" t="inlineStr" s="21">
        <is>
          <t xml:space="preserve">TS Funding allowance · TicketStub — Conservative</t>
        </is>
      </c>
      <c r="B161" s="8">
        <f>'01 — Editable assumptions — USD'!B30</f>
        <v>0.06</v>
      </c>
    </row>
    <row r="162">
      <c r="A162" t="inlineStr" s="21">
        <is>
          <t xml:space="preserve">TS Hypothetical launch date · TicketStub — Growth</t>
        </is>
      </c>
      <c r="B162" s="13">
        <f>DATE(2027,1,1)</f>
        <v>46388</v>
      </c>
    </row>
    <row r="163">
      <c r="A163" t="inlineStr" s="21">
        <is>
          <t xml:space="preserve">TS Hypothetical launch date · TicketStub — Conservative</t>
        </is>
      </c>
      <c r="B163" s="13">
        <f>DATE(2027,1,1)</f>
        <v>46388</v>
      </c>
    </row>
    <row r="164">
      <c r="A164" t="inlineStr" s="21">
        <is>
          <t xml:space="preserve">TS Image cost per generation · TicketStub — Growth</t>
        </is>
      </c>
      <c r="B164" s="8">
        <f>'Model inputs'!B202*'Model inputs'!B200/1000000+'Model inputs'!B198*'Model inputs'!B196/1000000+'Model inputs'!B194*'Model inputs'!B192/1000000</f>
        <v>0.12075</v>
      </c>
    </row>
    <row r="165">
      <c r="A165" t="inlineStr" s="21">
        <is>
          <t xml:space="preserve">TS Image cost per generation · TicketStub — Conservative</t>
        </is>
      </c>
      <c r="B165" s="8">
        <f>'Model inputs'!B203*'Model inputs'!B201/1000000+'Model inputs'!B199*'Model inputs'!B197/1000000+'Model inputs'!B195*'Model inputs'!B193/1000000</f>
        <v>0.12075</v>
      </c>
    </row>
    <row r="166">
      <c r="A166" t="inlineStr" s="21">
        <is>
          <t xml:space="preserve">TS Payment fee per order · TS Launch reserve · 07 — Cash projection — hypothetical dates and balances · Main Scenario</t>
        </is>
      </c>
      <c r="C166" s="8">
        <f>'Model inputs'!B21*'Model inputs'!B119+'Model inputs'!B118</f>
        <v>0.5609999999999999</v>
      </c>
    </row>
    <row r="167">
      <c r="A167" t="inlineStr" s="21">
        <is>
          <t xml:space="preserve">TS Payment fixed fee · TicketStub — Growth</t>
        </is>
      </c>
      <c r="B167" s="9">
        <f>'01 — Editable assumptions — USD'!B13</f>
        <v>0.3</v>
      </c>
    </row>
    <row r="168">
      <c r="A168" t="inlineStr" s="21">
        <is>
          <t xml:space="preserve">TS Payment fixed fee · TicketStub — Conservative</t>
        </is>
      </c>
      <c r="B168" s="9">
        <f>'01 — Editable assumptions — USD'!B13</f>
        <v>0.3</v>
      </c>
    </row>
    <row r="169">
      <c r="A169" t="inlineStr" s="21">
        <is>
          <t xml:space="preserve">TS Payment rate · TicketStub — Growth</t>
        </is>
      </c>
      <c r="B169" s="8">
        <f>'01 — Editable assumptions — USD'!B12</f>
        <v>0.029</v>
      </c>
    </row>
    <row r="170">
      <c r="A170" t="inlineStr" s="21">
        <is>
          <t xml:space="preserve">TS Payment rate · TicketStub — Conservative</t>
        </is>
      </c>
      <c r="B170" s="8">
        <f>'01 — Editable assumptions — USD'!B12</f>
        <v>0.029</v>
      </c>
    </row>
    <row r="171">
      <c r="A171" t="inlineStr" s="21">
        <is>
          <t xml:space="preserve">TS Payout float days · TS Launch reserve · 07 — Cash projection — hypothetical dates and balances · Main Scenario</t>
        </is>
      </c>
      <c r="C171" s="8">
        <f>'01 — Editable assumptions — USD'!B39</f>
        <v>7</v>
      </c>
    </row>
    <row r="172">
      <c r="A172" t="inlineStr" s="21">
        <is>
          <t xml:space="preserve">TS Projection start date · TicketStub — Growth</t>
        </is>
      </c>
      <c r="B172" s="13">
        <f>DATE(2026,10,1)</f>
        <v>46296</v>
      </c>
    </row>
    <row r="173">
      <c r="A173" t="inlineStr" s="21">
        <is>
          <t xml:space="preserve">TS Projection start date · TicketStub — Conservative</t>
        </is>
      </c>
      <c r="B173" s="13">
        <f>DATE(2026,10,1)</f>
        <v>46296</v>
      </c>
    </row>
    <row r="174">
      <c r="A174" t="inlineStr" s="21">
        <is>
          <t xml:space="preserve">TS Refund allowance per order · TS Launch reserve · 07 — Cash projection — hypothetical dates and balances · Main Scenario</t>
        </is>
      </c>
      <c r="C174" s="8">
        <f>'Model inputs'!B21*'Model inputs'!B117</f>
        <v>0.18</v>
      </c>
    </row>
    <row r="175">
      <c r="A175" t="inlineStr" s="21">
        <is>
          <t xml:space="preserve">TS Research cost per start · TicketStub — Growth</t>
        </is>
      </c>
      <c r="B175" s="8">
        <f>'Model inputs'!B204*'Model inputs'!B208/1000000+'Model inputs'!B206*'Model inputs'!B210/1000000</f>
        <v>0.014</v>
      </c>
    </row>
    <row r="176">
      <c r="A176" t="inlineStr" s="21">
        <is>
          <t xml:space="preserve">TS Research cost per start · TicketStub — Conservative</t>
        </is>
      </c>
      <c r="B176" s="8">
        <f>'Model inputs'!B205*'Model inputs'!B209/1000000+'Model inputs'!B207*'Model inputs'!B211/1000000</f>
        <v>0.014</v>
      </c>
    </row>
    <row r="177">
      <c r="A177" t="inlineStr" s="21">
        <is>
          <t xml:space="preserve">TS Variable delivery per order · TicketStub — Growth</t>
        </is>
      </c>
      <c r="B177" s="9">
        <f>'01 — Editable assumptions — USD'!B16</f>
        <v>0.03</v>
      </c>
    </row>
    <row r="178">
      <c r="A178" t="inlineStr" s="21">
        <is>
          <t xml:space="preserve">TS Variable delivery per order · TicketStub — Conservative</t>
        </is>
      </c>
      <c r="B178" s="9">
        <f>'01 — Editable assumptions — USD'!B16</f>
        <v>0.03</v>
      </c>
    </row>
    <row r="179">
      <c r="A179" t="inlineStr" s="21">
        <is>
          <t xml:space="preserve">TS Variable email per order · TicketStub — Growth</t>
        </is>
      </c>
      <c r="B179" s="9">
        <f>'01 — Editable assumptions — USD'!B17</f>
        <v>0.02</v>
      </c>
    </row>
    <row r="180">
      <c r="A180" t="inlineStr" s="21">
        <is>
          <t xml:space="preserve">TS Variable email per order · TicketStub — Conservative</t>
        </is>
      </c>
      <c r="B180" s="9">
        <f>'01 — Editable assumptions — USD'!B17</f>
        <v>0.02</v>
      </c>
    </row>
    <row r="181">
      <c r="A181" t="inlineStr" s="21">
        <is>
          <t xml:space="preserve">TS Variable operations per order · TS Launch reserve · 07 — Cash projection — hypothetical dates and balances · Main Scenario</t>
        </is>
      </c>
      <c r="C181" s="8">
        <f>'Model inputs'!B123+'Model inputs'!B121+'Model inputs'!B122</f>
        <v>0.2</v>
      </c>
    </row>
    <row r="182">
      <c r="A182" t="inlineStr" s="21">
        <is>
          <t xml:space="preserve">TS Variable support per order · TicketStub — Growth</t>
        </is>
      </c>
      <c r="B182" s="9">
        <f>'01 — Editable assumptions — USD'!B15</f>
        <v>0.15</v>
      </c>
    </row>
    <row r="183">
      <c r="A183" t="inlineStr" s="21">
        <is>
          <t xml:space="preserve">TS Variable support per order · TicketStub — Conservative</t>
        </is>
      </c>
      <c r="B183" s="9">
        <f>'01 — Editable assumptions — USD'!B15</f>
        <v>0.15</v>
      </c>
    </row>
    <row r="184">
      <c r="A184" t="inlineStr" s="21">
        <is>
          <t xml:space="preserve">TS Monthly AI spend · TS Launch reserve · 07 — Cash projection — hypothetical dates and balances</t>
        </is>
      </c>
      <c r="C184" s="8">
        <f>'Model inputs'!B120*'Model inputs'!B6</f>
        <v>308.99</v>
      </c>
    </row>
    <row r="185">
      <c r="A185" t="inlineStr" s="21">
        <is>
          <t xml:space="preserve">TS Monthly visits · TS Digital orders · 07 — Cash projection — hypothetical dates and balances</t>
        </is>
      </c>
      <c r="C185" s="8">
        <f>'04 — Scenario comparison — Base'!B5</f>
        <v>10000</v>
      </c>
    </row>
    <row r="186">
      <c r="A186" t="inlineStr" s="21">
        <is>
          <t xml:space="preserve">TS Paid conversion of visits · TS Digital orders · 07 — Cash projection — hypothetical dates and balances</t>
        </is>
      </c>
      <c r="C186" s="8">
        <f>'04 — Scenario comparison — Base'!B7</f>
        <v>0.02</v>
      </c>
    </row>
    <row r="187">
      <c r="A187" t="inlineStr" s="21">
        <is>
          <t xml:space="preserve">TS AI cost per start · TS Launch reserve · 07 — Cash projection — hypothetical dates and balances · Main Scenario</t>
        </is>
      </c>
      <c r="C187" s="8">
        <f>('Model inputs'!B130+'Model inputs'!B126*'Model inputs'!B125+'Model inputs'!B129*'Model inputs'!B128)*(1+'Model inputs'!B127)*(1+'Model inputs'!B124)</f>
        <v>0.30899</v>
      </c>
    </row>
    <row r="188">
      <c r="A188" t="inlineStr" s="21">
        <is>
          <t xml:space="preserve">TS Chat input tokens · TicketStub — Growth</t>
        </is>
      </c>
      <c r="B188" s="8">
        <f>'01 — Editable assumptions — USD'!B20</f>
        <v>3000</v>
      </c>
    </row>
    <row r="189">
      <c r="A189" t="inlineStr" s="21">
        <is>
          <t xml:space="preserve">TS Chat input tokens · TicketStub — Conservative</t>
        </is>
      </c>
      <c r="B189" s="8">
        <f>'01 — Editable assumptions — USD'!B20</f>
        <v>3000</v>
      </c>
    </row>
    <row r="190">
      <c r="A190" t="inlineStr" s="21">
        <is>
          <t xml:space="preserve">TS Chat output tokens · TicketStub — Growth</t>
        </is>
      </c>
      <c r="B190" s="8">
        <f>'01 — Editable assumptions — USD'!B21</f>
        <v>300</v>
      </c>
    </row>
    <row r="191">
      <c r="A191" t="inlineStr" s="21">
        <is>
          <t xml:space="preserve">TS Chat output tokens · TicketStub — Conservative</t>
        </is>
      </c>
      <c r="B191" s="8">
        <f>'01 — Editable assumptions — USD'!B21</f>
        <v>300</v>
      </c>
    </row>
    <row r="192">
      <c r="A192" t="inlineStr" s="21">
        <is>
          <t xml:space="preserve">TS Image input rate per million tokens · TicketStub — Growth</t>
        </is>
      </c>
      <c r="B192" s="23">
        <f>'01 — Editable assumptions — USD'!B29</f>
        <v>8</v>
      </c>
    </row>
    <row r="193">
      <c r="A193" t="inlineStr" s="21">
        <is>
          <t xml:space="preserve">TS Image input rate per million tokens · TicketStub — Conservative</t>
        </is>
      </c>
      <c r="B193" s="23">
        <f>'01 — Editable assumptions — USD'!B29</f>
        <v>8</v>
      </c>
    </row>
    <row r="194">
      <c r="A194" t="inlineStr" s="21">
        <is>
          <t xml:space="preserve">TS Image input tokens · TicketStub — Growth</t>
        </is>
      </c>
      <c r="B194" s="8">
        <f>'01 — Editable assumptions — USD'!B26</f>
        <v>0</v>
      </c>
    </row>
    <row r="195">
      <c r="A195" t="inlineStr" s="21">
        <is>
          <t xml:space="preserve">TS Image input tokens · TicketStub — Conservative</t>
        </is>
      </c>
      <c r="B195" s="8">
        <f>'01 — Editable assumptions — USD'!B26</f>
        <v>0</v>
      </c>
    </row>
    <row r="196">
      <c r="A196" t="inlineStr" s="21">
        <is>
          <t xml:space="preserve">TS Image output rate per million tokens · TicketStub — Growth</t>
        </is>
      </c>
      <c r="B196" s="23">
        <f>'01 — Editable assumptions — USD'!B28</f>
        <v>30</v>
      </c>
    </row>
    <row r="197">
      <c r="A197" t="inlineStr" s="21">
        <is>
          <t xml:space="preserve">TS Image output rate per million tokens · TicketStub — Conservative</t>
        </is>
      </c>
      <c r="B197" s="23">
        <f>'01 — Editable assumptions — USD'!B28</f>
        <v>30</v>
      </c>
    </row>
    <row r="198">
      <c r="A198" t="inlineStr" s="21">
        <is>
          <t xml:space="preserve">TS Image output tokens · TicketStub — Growth</t>
        </is>
      </c>
      <c r="B198" s="8">
        <f>'01 — Editable assumptions — USD'!B25</f>
        <v>4000</v>
      </c>
    </row>
    <row r="199">
      <c r="A199" t="inlineStr" s="21">
        <is>
          <t xml:space="preserve">TS Image output tokens · TicketStub — Conservative</t>
        </is>
      </c>
      <c r="B199" s="8">
        <f>'01 — Editable assumptions — USD'!B25</f>
        <v>4000</v>
      </c>
    </row>
    <row r="200">
      <c r="A200" t="inlineStr" s="21">
        <is>
          <t xml:space="preserve">TS Image text rate per million tokens · TicketStub — Growth</t>
        </is>
      </c>
      <c r="B200" s="23">
        <f>'01 — Editable assumptions — USD'!B27</f>
        <v>5</v>
      </c>
    </row>
    <row r="201">
      <c r="A201" t="inlineStr" s="21">
        <is>
          <t xml:space="preserve">TS Image text rate per million tokens · TicketStub — Conservative</t>
        </is>
      </c>
      <c r="B201" s="23">
        <f>'01 — Editable assumptions — USD'!B27</f>
        <v>5</v>
      </c>
    </row>
    <row r="202">
      <c r="A202" t="inlineStr" s="21">
        <is>
          <t xml:space="preserve">TS Image text tokens · TicketStub — Growth</t>
        </is>
      </c>
      <c r="B202" s="8">
        <f>'01 — Editable assumptions — USD'!B24</f>
        <v>150</v>
      </c>
    </row>
    <row r="203">
      <c r="A203" t="inlineStr" s="21">
        <is>
          <t xml:space="preserve">TS Image text tokens · TicketStub — Conservative</t>
        </is>
      </c>
      <c r="B203" s="8">
        <f>'01 — Editable assumptions — USD'!B24</f>
        <v>150</v>
      </c>
    </row>
    <row r="204">
      <c r="A204" t="inlineStr" s="21">
        <is>
          <t xml:space="preserve">TS Research input tokens · TicketStub — Growth</t>
        </is>
      </c>
      <c r="B204" s="8">
        <f>'01 — Editable assumptions — USD'!B18</f>
        <v>4000</v>
      </c>
    </row>
    <row r="205">
      <c r="A205" t="inlineStr" s="21">
        <is>
          <t xml:space="preserve">TS Research input tokens · TicketStub — Conservative</t>
        </is>
      </c>
      <c r="B205" s="8">
        <f>'01 — Editable assumptions — USD'!B18</f>
        <v>4000</v>
      </c>
    </row>
    <row r="206">
      <c r="A206" t="inlineStr" s="21">
        <is>
          <t xml:space="preserve">TS Research output tokens · TicketStub — Growth</t>
        </is>
      </c>
      <c r="B206" s="8">
        <f>'01 — Editable assumptions — USD'!B19</f>
        <v>600</v>
      </c>
    </row>
    <row r="207">
      <c r="A207" t="inlineStr" s="21">
        <is>
          <t xml:space="preserve">TS Research output tokens · TicketStub — Conservative</t>
        </is>
      </c>
      <c r="B207" s="8">
        <f>'01 — Editable assumptions — USD'!B19</f>
        <v>600</v>
      </c>
    </row>
    <row r="208">
      <c r="A208" t="inlineStr" s="21">
        <is>
          <t xml:space="preserve">TS Text input rate per million tokens · TicketStub — Growth</t>
        </is>
      </c>
      <c r="B208" s="23">
        <f>'01 — Editable assumptions — USD'!B22</f>
        <v>2</v>
      </c>
    </row>
    <row r="209">
      <c r="A209" t="inlineStr" s="21">
        <is>
          <t xml:space="preserve">TS Text input rate per million tokens · TicketStub — Conservative</t>
        </is>
      </c>
      <c r="B209" s="23">
        <f>'01 — Editable assumptions — USD'!B22</f>
        <v>2</v>
      </c>
    </row>
    <row r="210">
      <c r="A210" t="inlineStr" s="21">
        <is>
          <t xml:space="preserve">TS Text output rate per million tokens · TicketStub — Growth</t>
        </is>
      </c>
      <c r="B210" s="23">
        <f>'01 — Editable assumptions — USD'!B23</f>
        <v>10</v>
      </c>
    </row>
    <row r="211">
      <c r="A211" t="inlineStr" s="21">
        <is>
          <t xml:space="preserve">TS Text output rate per million tokens · TicketStub — Conservative</t>
        </is>
      </c>
      <c r="B211" s="23">
        <f>'01 — Editable assumptions — USD'!B23</f>
        <v>10</v>
      </c>
    </row>
    <row r="212">
      <c r="A212" t="inlineStr" s="21">
        <is>
          <t xml:space="preserve">TS Digital refund allowance · TS Launch reserve · 07 — Cash projection — hypothetical dates and balances · Main Scenario</t>
        </is>
      </c>
      <c r="C212" s="8">
        <f>'01 — Editable assumptions — USD'!B14</f>
        <v>0.02</v>
      </c>
    </row>
    <row r="213">
      <c r="A213" t="inlineStr" s="21">
        <is>
          <t xml:space="preserve">TS Payment fixed fee · TS Launch reserve · 07 — Cash projection — hypothetical dates and balances · Main Scenario</t>
        </is>
      </c>
      <c r="C213" s="9">
        <f>'01 — Editable assumptions — USD'!B13</f>
        <v>0.3</v>
      </c>
    </row>
    <row r="214">
      <c r="A214" t="inlineStr" s="21">
        <is>
          <t xml:space="preserve">TS Payment rate · TS Launch reserve · 07 — Cash projection — hypothetical dates and balances · Main Scenario</t>
        </is>
      </c>
      <c r="C214" s="8">
        <f>'01 — Editable assumptions — USD'!B12</f>
        <v>0.029</v>
      </c>
    </row>
    <row r="215">
      <c r="A215" t="inlineStr" s="21">
        <is>
          <t xml:space="preserve">TS Variable delivery per order · TS Launch reserve · 07 — Cash projection — hypothetical dates and balances · Main Scenario</t>
        </is>
      </c>
      <c r="C215" s="9">
        <f>'01 — Editable assumptions — USD'!B16</f>
        <v>0.03</v>
      </c>
    </row>
    <row r="216">
      <c r="A216" t="inlineStr" s="21">
        <is>
          <t xml:space="preserve">TS Variable email per order · TS Launch reserve · 07 — Cash projection — hypothetical dates and balances · Main Scenario</t>
        </is>
      </c>
      <c r="C216" s="9">
        <f>'01 — Editable assumptions — USD'!B17</f>
        <v>0.02</v>
      </c>
    </row>
    <row r="217">
      <c r="A217" t="inlineStr" s="21">
        <is>
          <t xml:space="preserve">TS Variable support per order · TS Launch reserve · 07 — Cash projection — hypothetical dates and balances · Main Scenario</t>
        </is>
      </c>
      <c r="C217" s="9">
        <f>'01 — Editable assumptions — USD'!B15</f>
        <v>0.15</v>
      </c>
    </row>
    <row r="218">
      <c r="A218" t="inlineStr" s="21">
        <is>
          <t xml:space="preserve">TS Studio starts · TS Launch reserve · 07 — Cash projection — hypothetical dates and balances</t>
        </is>
      </c>
      <c r="C218" s="8">
        <f>'Model inputs'!B115*'Model inputs'!B131</f>
        <v>1000</v>
      </c>
    </row>
    <row r="219">
      <c r="A219" t="inlineStr" s="21">
        <is>
          <t xml:space="preserve">TS Billed retry rate · TS Launch reserve · 07 — Cash projection — hypothetical dates and balances · Main Scenario</t>
        </is>
      </c>
      <c r="C219" s="8">
        <f>'01 — Editable assumptions — USD'!B31</f>
        <v>0</v>
      </c>
    </row>
    <row r="220">
      <c r="A220" t="inlineStr" s="21">
        <is>
          <t xml:space="preserve">TS Chat cost per call · TS Launch reserve · 07 — Cash projection — hypothetical dates and balances · Main Scenario</t>
        </is>
      </c>
      <c r="C220" s="8">
        <f>'Model inputs'!B132*'Model inputs'!B142/1000000+'Model inputs'!B133*'Model inputs'!B143/1000000</f>
        <v>0.009000000000000001</v>
      </c>
    </row>
    <row r="221">
      <c r="A221" t="inlineStr" s="21">
        <is>
          <t xml:space="preserve">TS Funding allowance · TS Launch reserve · 07 — Cash projection — hypothetical dates and balances · Main Scenario</t>
        </is>
      </c>
      <c r="C221" s="8">
        <f>'01 — Editable assumptions — USD'!B30</f>
        <v>0.06</v>
      </c>
    </row>
    <row r="222">
      <c r="A222" t="inlineStr" s="21">
        <is>
          <t xml:space="preserve">TS Image cost per generation · TS Launch reserve · 07 — Cash projection — hypothetical dates and balances · Main Scenario</t>
        </is>
      </c>
      <c r="C222" s="8">
        <f>'Model inputs'!B139*'Model inputs'!B138/1000000+'Model inputs'!B137*'Model inputs'!B136/1000000+'Model inputs'!B135*'Model inputs'!B134/1000000</f>
        <v>0.12075</v>
      </c>
    </row>
    <row r="223">
      <c r="A223" t="inlineStr" s="21">
        <is>
          <t xml:space="preserve">TS Research cost per start · TS Launch reserve · 07 — Cash projection — hypothetical dates and balances · Main Scenario</t>
        </is>
      </c>
      <c r="C223" s="8">
        <f>'Model inputs'!B140*'Model inputs'!B142/1000000+'Model inputs'!B141*'Model inputs'!B143/1000000</f>
        <v>0.014</v>
      </c>
    </row>
    <row r="224">
      <c r="A224" t="inlineStr" s="21">
        <is>
          <t xml:space="preserve">TS Chats per start · TS Launch reserve · 07 — Cash projection — hypothetical dates and balances</t>
        </is>
      </c>
      <c r="C224" s="8">
        <f>'04 — Scenario comparison — Base'!B9</f>
        <v>4</v>
      </c>
    </row>
    <row r="225">
      <c r="A225" t="inlineStr" s="21">
        <is>
          <t xml:space="preserve">TS Images per start · TS Launch reserve · 07 — Cash projection — hypothetical dates and balances</t>
        </is>
      </c>
      <c r="C225" s="8">
        <f>'Model inputs'!B67+'Model inputs'!B26</f>
        <v>2</v>
      </c>
    </row>
    <row r="226">
      <c r="A226" t="inlineStr" s="21">
        <is>
          <t xml:space="preserve">TS Studio start rate · TS Launch reserve · 07 — Cash projection — hypothetical dates and balances</t>
        </is>
      </c>
      <c r="C226" s="8">
        <f>'04 — Scenario comparison — Base'!B6</f>
        <v>0.1</v>
      </c>
    </row>
    <row r="227">
      <c r="A227" t="inlineStr" s="21">
        <is>
          <t xml:space="preserve">TS Expected revisions per start · TS Launch reserve · 07 — Cash projection — hypothetical dates and balances · Main Scenario</t>
        </is>
      </c>
      <c r="C227" s="8">
        <f>'01 — Editable assumptions — USD'!B9</f>
        <v>1</v>
      </c>
    </row>
    <row r="228">
      <c r="A228" t="inlineStr" s="21">
        <is>
          <t xml:space="preserve">TS Initial images per start · TS Launch reserve · 07 — Cash projection — hypothetical dates and balances · Main Scenario</t>
        </is>
      </c>
      <c r="C228" s="8">
        <f>'01 — Editable assumptions — USD'!B8</f>
        <v>1</v>
      </c>
    </row>
    <row r="229">
      <c r="A229" t="inlineStr" s="21">
        <is>
          <t xml:space="preserve">TS Chat input tokens · TS Launch reserve · 07 — Cash projection — hypothetical dates and balances · Main Scenario</t>
        </is>
      </c>
      <c r="C229" s="8">
        <f>'01 — Editable assumptions — USD'!B20</f>
        <v>3000</v>
      </c>
    </row>
    <row r="230">
      <c r="A230" t="inlineStr" s="21">
        <is>
          <t xml:space="preserve">TS Chat output tokens · TS Launch reserve · 07 — Cash projection — hypothetical dates and balances · Main Scenario</t>
        </is>
      </c>
      <c r="C230" s="8">
        <f>'01 — Editable assumptions — USD'!B21</f>
        <v>300</v>
      </c>
    </row>
    <row r="231">
      <c r="A231" t="inlineStr" s="21">
        <is>
          <t xml:space="preserve">TS Image input rate per million tokens · TS Launch reserve · 07 — Cash projection — hypothetical dates and balances · Main Scenario</t>
        </is>
      </c>
      <c r="C231" s="23">
        <f>'01 — Editable assumptions — USD'!B29</f>
        <v>8</v>
      </c>
    </row>
    <row r="232">
      <c r="A232" t="inlineStr" s="21">
        <is>
          <t xml:space="preserve">TS Image input tokens · TS Launch reserve · 07 — Cash projection — hypothetical dates and balances · Main Scenario</t>
        </is>
      </c>
      <c r="C232" s="8">
        <f>'01 — Editable assumptions — USD'!B26</f>
        <v>0</v>
      </c>
    </row>
    <row r="233">
      <c r="A233" t="inlineStr" s="21">
        <is>
          <t xml:space="preserve">TS Image output rate per million tokens · TS Launch reserve · 07 — Cash projection — hypothetical dates and balances · Main Scenario</t>
        </is>
      </c>
      <c r="C233" s="23">
        <f>'01 — Editable assumptions — USD'!B28</f>
        <v>30</v>
      </c>
    </row>
    <row r="234">
      <c r="A234" t="inlineStr" s="21">
        <is>
          <t xml:space="preserve">TS Image output tokens · TS Launch reserve · 07 — Cash projection — hypothetical dates and balances · Main Scenario</t>
        </is>
      </c>
      <c r="C234" s="8">
        <f>'01 — Editable assumptions — USD'!B25</f>
        <v>4000</v>
      </c>
    </row>
    <row r="235">
      <c r="A235" t="inlineStr" s="21">
        <is>
          <t xml:space="preserve">TS Image text rate per million tokens · TS Launch reserve · 07 — Cash projection — hypothetical dates and balances · Main Scenario</t>
        </is>
      </c>
      <c r="C235" s="23">
        <f>'01 — Editable assumptions — USD'!B27</f>
        <v>5</v>
      </c>
    </row>
    <row r="236">
      <c r="A236" t="inlineStr" s="21">
        <is>
          <t xml:space="preserve">TS Image text tokens · TS Launch reserve · 07 — Cash projection — hypothetical dates and balances · Main Scenario</t>
        </is>
      </c>
      <c r="C236" s="8">
        <f>'01 — Editable assumptions — USD'!B24</f>
        <v>150</v>
      </c>
    </row>
    <row r="237">
      <c r="A237" t="inlineStr" s="21">
        <is>
          <t xml:space="preserve">TS Research input tokens · TS Launch reserve · 07 — Cash projection — hypothetical dates and balances · Main Scenario</t>
        </is>
      </c>
      <c r="C237" s="8">
        <f>'01 — Editable assumptions — USD'!B18</f>
        <v>4000</v>
      </c>
    </row>
    <row r="238">
      <c r="A238" t="inlineStr" s="21">
        <is>
          <t xml:space="preserve">TS Research output tokens · TS Launch reserve · 07 — Cash projection — hypothetical dates and balances · Main Scenario</t>
        </is>
      </c>
      <c r="C238" s="8">
        <f>'01 — Editable assumptions — USD'!B19</f>
        <v>600</v>
      </c>
    </row>
    <row r="239">
      <c r="A239" t="inlineStr" s="21">
        <is>
          <t xml:space="preserve">TS Text input rate per million tokens · TS Launch reserve · 07 — Cash projection — hypothetical dates and balances · Main Scenario</t>
        </is>
      </c>
      <c r="C239" s="23">
        <f>'01 — Editable assumptions — USD'!B22</f>
        <v>2</v>
      </c>
    </row>
    <row r="240">
      <c r="A240" t="inlineStr" s="21">
        <is>
          <t xml:space="preserve">TS Text output rate per million tokens · TS Launch reserve · 07 — Cash projection — hypothetical dates and balances · Main Scenario</t>
        </is>
      </c>
      <c r="C240" s="23">
        <f>'01 — Editable assumptions — USD'!B23</f>
        <v>10</v>
      </c>
    </row>
    <row r="242">
      <c r="A242" t="inlineStr" s="20">
        <is>
          <t xml:space="preserve">Dimensions</t>
        </is>
      </c>
    </row>
    <row r="243">
      <c r="A243" t="inlineStr" s="21">
        <is>
          <t xml:space="preserve">TS Budget bucket</t>
        </is>
      </c>
      <c r="B243" t="inlineStr" s="24">
        <is>
          <t xml:space="preserve">Data and API licensing contingency</t>
        </is>
      </c>
      <c r="C243" t="inlineStr" s="24">
        <is>
          <t xml:space="preserve">Database backup and base storage</t>
        </is>
      </c>
      <c r="D243" t="inlineStr" s="24">
        <is>
          <t xml:space="preserve">Development AI and tools</t>
        </is>
      </c>
      <c r="E243" t="inlineStr" s="24">
        <is>
          <t xml:space="preserve">Domain admin and accounting</t>
        </is>
      </c>
      <c r="F243" t="inlineStr" s="24">
        <is>
          <t xml:space="preserve">Email base provision</t>
        </is>
      </c>
      <c r="G243" t="inlineStr" s="24">
        <is>
          <t xml:space="preserve">Hosting</t>
        </is>
      </c>
      <c r="H243" t="inlineStr" s="24">
        <is>
          <t xml:space="preserve">Monitoring traces and security</t>
        </is>
      </c>
    </row>
  </sheetData>
  <mergeCells count="2">
    <mergeCell ref="A1:S1"/>
    <mergeCell ref="A2:S2"/>
  </mergeCells>
</worksheet>
</file>